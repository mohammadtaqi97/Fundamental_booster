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D277CDAD-D38A-4DE3-BE5F-32FBC854D8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udents Grade" sheetId="1" r:id="rId1"/>
    <sheet name="Sales Data" sheetId="2" r:id="rId2"/>
    <sheet name="Employee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29" i="2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35" i="1"/>
  <c r="A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F24" i="2"/>
  <c r="F25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" i="2"/>
  <c r="H2" i="2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" i="1"/>
  <c r="H2" i="1" s="1"/>
  <c r="I2" i="1" s="1"/>
</calcChain>
</file>

<file path=xl/sharedStrings.xml><?xml version="1.0" encoding="utf-8"?>
<sst xmlns="http://schemas.openxmlformats.org/spreadsheetml/2006/main" count="192" uniqueCount="114">
  <si>
    <t>Student ID</t>
  </si>
  <si>
    <t>Name</t>
  </si>
  <si>
    <t>Math</t>
  </si>
  <si>
    <t>Science</t>
  </si>
  <si>
    <t>English</t>
  </si>
  <si>
    <t>Enrollment Date</t>
  </si>
  <si>
    <t>Total</t>
  </si>
  <si>
    <t>Percentage(%)</t>
  </si>
  <si>
    <t>Grade</t>
  </si>
  <si>
    <t>Student Scored &gt;80 in Math and Science</t>
  </si>
  <si>
    <t>Average</t>
  </si>
  <si>
    <t>UPPERCASE</t>
  </si>
  <si>
    <t>LOWERCASE</t>
  </si>
  <si>
    <t>Aarav</t>
  </si>
  <si>
    <t>Vivan</t>
  </si>
  <si>
    <t>Aditya</t>
  </si>
  <si>
    <t>Arjun</t>
  </si>
  <si>
    <t>Reyansh</t>
  </si>
  <si>
    <t>Dhruv</t>
  </si>
  <si>
    <t>Krish</t>
  </si>
  <si>
    <t>Yash</t>
  </si>
  <si>
    <t>Rohan</t>
  </si>
  <si>
    <t>Dev</t>
  </si>
  <si>
    <t>Harsh</t>
  </si>
  <si>
    <t>Manav</t>
  </si>
  <si>
    <t>Rudra</t>
  </si>
  <si>
    <t>Kabir</t>
  </si>
  <si>
    <t>Parth</t>
  </si>
  <si>
    <t>Ved</t>
  </si>
  <si>
    <t>Shivam</t>
  </si>
  <si>
    <t>Ansh</t>
  </si>
  <si>
    <t>Ayush</t>
  </si>
  <si>
    <t>Kunal</t>
  </si>
  <si>
    <t>COUNTIFS</t>
  </si>
  <si>
    <t>Counting the number of students who scored above 50 in Math.</t>
  </si>
  <si>
    <t>No. of students who scored Above 50 in Math</t>
  </si>
  <si>
    <t>AVERAGEIFS</t>
  </si>
  <si>
    <t>Calculate the average score for students who scored above 60.</t>
  </si>
  <si>
    <t>Question</t>
  </si>
  <si>
    <t>Fetch student names based on ID from a separate dataset.</t>
  </si>
  <si>
    <t>Sales ID</t>
  </si>
  <si>
    <t>Product</t>
  </si>
  <si>
    <t>Region</t>
  </si>
  <si>
    <t>Salesperson</t>
  </si>
  <si>
    <t>Amount</t>
  </si>
  <si>
    <t>Date</t>
  </si>
  <si>
    <t>Discount</t>
  </si>
  <si>
    <t>Amont After Discount</t>
  </si>
  <si>
    <t>Eligible/Not eligible for discount</t>
  </si>
  <si>
    <t>LOWERECASE</t>
  </si>
  <si>
    <t>Days from date</t>
  </si>
  <si>
    <t>Round amount after discounting</t>
  </si>
  <si>
    <t>Ceiling amount after discounting</t>
  </si>
  <si>
    <t>Floor amount after discounting</t>
  </si>
  <si>
    <t>Keyboard</t>
  </si>
  <si>
    <t>South</t>
  </si>
  <si>
    <t>Rahul</t>
  </si>
  <si>
    <t>Printer</t>
  </si>
  <si>
    <t>West</t>
  </si>
  <si>
    <t xml:space="preserve">Amit </t>
  </si>
  <si>
    <t>Mouse</t>
  </si>
  <si>
    <t>Neha</t>
  </si>
  <si>
    <t>East</t>
  </si>
  <si>
    <t>Priya</t>
  </si>
  <si>
    <t>North</t>
  </si>
  <si>
    <t>Karan</t>
  </si>
  <si>
    <t>Sneha</t>
  </si>
  <si>
    <t>Akash</t>
  </si>
  <si>
    <t>Pooja</t>
  </si>
  <si>
    <t>Vivek</t>
  </si>
  <si>
    <t>Raj</t>
  </si>
  <si>
    <t>Monitor</t>
  </si>
  <si>
    <t>Anjali</t>
  </si>
  <si>
    <t>Laptop</t>
  </si>
  <si>
    <t>Nikhil</t>
  </si>
  <si>
    <t>Komal</t>
  </si>
  <si>
    <t>Sagar</t>
  </si>
  <si>
    <t>Tushar</t>
  </si>
  <si>
    <t>Riya</t>
  </si>
  <si>
    <t>Manish</t>
  </si>
  <si>
    <t>Kajal</t>
  </si>
  <si>
    <t xml:space="preserve">Sum total sales for a specific region </t>
  </si>
  <si>
    <t>Retrieve product prices based on product codes.</t>
  </si>
  <si>
    <t>Employee ID</t>
  </si>
  <si>
    <t>Department</t>
  </si>
  <si>
    <t>Salary</t>
  </si>
  <si>
    <t>Joining Date</t>
  </si>
  <si>
    <t>ROUND Fn</t>
  </si>
  <si>
    <t>Ceiling</t>
  </si>
  <si>
    <t>Floor</t>
  </si>
  <si>
    <t>Zaid</t>
  </si>
  <si>
    <t>Finance</t>
  </si>
  <si>
    <t>Ayan</t>
  </si>
  <si>
    <t>Farhan</t>
  </si>
  <si>
    <t>HR</t>
  </si>
  <si>
    <t>Sameer</t>
  </si>
  <si>
    <t>Imran</t>
  </si>
  <si>
    <t>IT</t>
  </si>
  <si>
    <t>Danish</t>
  </si>
  <si>
    <t>Faizan</t>
  </si>
  <si>
    <t>Marketing</t>
  </si>
  <si>
    <t>Rehan</t>
  </si>
  <si>
    <t>Arman</t>
  </si>
  <si>
    <t>Saif</t>
  </si>
  <si>
    <t>Mehul</t>
  </si>
  <si>
    <t>Jay</t>
  </si>
  <si>
    <t>Krunal</t>
  </si>
  <si>
    <t>Het</t>
  </si>
  <si>
    <t>Meet</t>
  </si>
  <si>
    <t>Darshil</t>
  </si>
  <si>
    <t>Mahek</t>
  </si>
  <si>
    <t>Niyati</t>
  </si>
  <si>
    <t>Jinal</t>
  </si>
  <si>
    <t>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</si>
</sst>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47]* #,##0.00_ ;_ [$₹-447]* \-#,##0.00_ ;_ [$₹-447]* &quot;-&quot;??_ ;_ @_ "/>
    <numFmt numFmtId="165" formatCode="_ [$₹-447]* #,##0.0_ ;_ [$₹-447]* \-#,##0.0_ ;_ [$₹-447]* &quot;-&quot;?_ ;_ @_ "/>
  </numFmts>
  <fonts count="14">
    <font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11"/>
      <color rgb="FFFFFF00"/>
      <name val="Calibri"/>
      <charset val="1"/>
    </font>
    <font>
      <sz val="11"/>
      <color rgb="FFFFFF00"/>
      <name val="Aptos Narrow"/>
      <family val="2"/>
      <scheme val="minor"/>
    </font>
    <font>
      <b/>
      <sz val="11"/>
      <color rgb="FFFFC000"/>
      <name val="Calibri"/>
      <charset val="1"/>
    </font>
    <font>
      <sz val="11"/>
      <color rgb="FFFFC00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4"/>
      <name val="Calibri"/>
      <charset val="1"/>
    </font>
    <font>
      <b/>
      <i/>
      <sz val="11"/>
      <color theme="0"/>
      <name val="Aptos Narrow"/>
      <family val="2"/>
      <scheme val="minor"/>
    </font>
    <font>
      <b/>
      <i/>
      <sz val="11"/>
      <color theme="1"/>
      <name val="Calibri"/>
      <charset val="1"/>
    </font>
    <font>
      <b/>
      <i/>
      <u/>
      <sz val="11"/>
      <color theme="1"/>
      <name val="Calibri"/>
      <charset val="1"/>
    </font>
    <font>
      <b/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readingOrder="1"/>
    </xf>
    <xf numFmtId="0" fontId="2" fillId="0" borderId="2" xfId="0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readingOrder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0" fillId="0" borderId="0" xfId="0" applyNumberFormat="1"/>
    <xf numFmtId="164" fontId="5" fillId="6" borderId="0" xfId="0" applyNumberFormat="1" applyFont="1" applyFill="1"/>
    <xf numFmtId="0" fontId="3" fillId="0" borderId="0" xfId="0" applyFont="1"/>
    <xf numFmtId="0" fontId="0" fillId="8" borderId="0" xfId="0" applyFont="1" applyFill="1"/>
    <xf numFmtId="0" fontId="4" fillId="0" borderId="0" xfId="0" applyFont="1" applyFill="1" applyAlignment="1">
      <alignment horizontal="center"/>
    </xf>
    <xf numFmtId="164" fontId="5" fillId="0" borderId="0" xfId="0" applyNumberFormat="1" applyFont="1" applyFill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164" fontId="2" fillId="0" borderId="1" xfId="0" applyNumberFormat="1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165" fontId="2" fillId="0" borderId="1" xfId="0" applyNumberFormat="1" applyFont="1" applyBorder="1" applyAlignment="1">
      <alignment horizontal="center" readingOrder="1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0" fontId="0" fillId="4" borderId="1" xfId="0" applyFill="1" applyBorder="1"/>
    <xf numFmtId="0" fontId="2" fillId="0" borderId="1" xfId="0" applyFont="1" applyFill="1" applyBorder="1" applyAlignment="1">
      <alignment horizontal="center" readingOrder="1"/>
    </xf>
    <xf numFmtId="14" fontId="2" fillId="0" borderId="1" xfId="0" applyNumberFormat="1" applyFont="1" applyFill="1" applyBorder="1" applyAlignment="1">
      <alignment horizontal="center" readingOrder="1"/>
    </xf>
    <xf numFmtId="0" fontId="3" fillId="4" borderId="0" xfId="0" applyFont="1" applyFill="1"/>
    <xf numFmtId="2" fontId="0" fillId="0" borderId="0" xfId="0" applyNumberFormat="1"/>
    <xf numFmtId="164" fontId="0" fillId="0" borderId="1" xfId="0" applyNumberFormat="1" applyBorder="1" applyAlignment="1">
      <alignment horizontal="center"/>
    </xf>
    <xf numFmtId="165" fontId="0" fillId="0" borderId="0" xfId="0" applyNumberFormat="1"/>
    <xf numFmtId="0" fontId="13" fillId="4" borderId="0" xfId="0" applyFont="1" applyFill="1"/>
    <xf numFmtId="0" fontId="6" fillId="5" borderId="3" xfId="0" applyFont="1" applyFill="1" applyBorder="1" applyAlignment="1">
      <alignment horizontal="center" readingOrder="1"/>
    </xf>
    <xf numFmtId="0" fontId="6" fillId="5" borderId="0" xfId="0" applyFont="1" applyFill="1" applyBorder="1" applyAlignment="1">
      <alignment horizontal="center" readingOrder="1"/>
    </xf>
    <xf numFmtId="0" fontId="9" fillId="5" borderId="3" xfId="0" applyFont="1" applyFill="1" applyBorder="1" applyAlignment="1">
      <alignment horizontal="center" readingOrder="1"/>
    </xf>
    <xf numFmtId="0" fontId="9" fillId="5" borderId="0" xfId="0" applyFont="1" applyFill="1" applyBorder="1" applyAlignment="1">
      <alignment horizontal="center" readingOrder="1"/>
    </xf>
    <xf numFmtId="0" fontId="8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AF2D0"/>
      <color rgb="FFFFF2CC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B36" sqref="B36"/>
    </sheetView>
  </sheetViews>
  <sheetFormatPr defaultRowHeight="15"/>
  <cols>
    <col min="1" max="1" width="10.5703125" bestFit="1" customWidth="1"/>
    <col min="2" max="2" width="10.7109375" bestFit="1" customWidth="1"/>
    <col min="3" max="3" width="6" bestFit="1" customWidth="1"/>
    <col min="4" max="4" width="7.7109375" bestFit="1" customWidth="1"/>
    <col min="5" max="5" width="7.42578125" bestFit="1" customWidth="1"/>
    <col min="6" max="6" width="17" bestFit="1" customWidth="1"/>
    <col min="8" max="8" width="13.85546875" bestFit="1" customWidth="1"/>
    <col min="10" max="10" width="36.28515625" bestFit="1" customWidth="1"/>
    <col min="12" max="12" width="11.7109375" bestFit="1" customWidth="1"/>
    <col min="13" max="13" width="12.285156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8" t="s">
        <v>6</v>
      </c>
      <c r="H1" s="18" t="s">
        <v>7</v>
      </c>
      <c r="I1" s="18" t="s">
        <v>8</v>
      </c>
      <c r="J1" s="24" t="s">
        <v>9</v>
      </c>
      <c r="K1" s="19" t="s">
        <v>10</v>
      </c>
      <c r="L1" s="25" t="s">
        <v>11</v>
      </c>
      <c r="M1" s="25" t="s">
        <v>12</v>
      </c>
    </row>
    <row r="2" spans="1:13">
      <c r="A2" s="26">
        <v>1001</v>
      </c>
      <c r="B2" s="26" t="s">
        <v>13</v>
      </c>
      <c r="C2" s="26">
        <v>61</v>
      </c>
      <c r="D2" s="26">
        <v>48</v>
      </c>
      <c r="E2" s="26">
        <v>76</v>
      </c>
      <c r="F2" s="27">
        <v>43101</v>
      </c>
      <c r="G2" s="17">
        <f>C2+D2+E2</f>
        <v>185</v>
      </c>
      <c r="H2" s="17">
        <f>ROUND((G2/300)*100,2)</f>
        <v>61.67</v>
      </c>
      <c r="I2" s="17" t="str">
        <f>IF(H2&gt;80,"A",IF(H2&gt;60,"B",IF(H2&gt;40,"C")))</f>
        <v>B</v>
      </c>
      <c r="J2" s="23" t="str">
        <f>IF(AND(C2&gt;80,D2&gt;80),"Yes","No")</f>
        <v>No</v>
      </c>
      <c r="K2" s="23">
        <f>ROUND((C2+D2+E2)/3,2)</f>
        <v>61.67</v>
      </c>
      <c r="L2" s="23" t="str">
        <f>UPPER(B2)</f>
        <v>AARAV</v>
      </c>
      <c r="M2" s="23" t="str">
        <f>LOWER(B2)</f>
        <v>aarav</v>
      </c>
    </row>
    <row r="3" spans="1:13">
      <c r="A3" s="26">
        <v>1002</v>
      </c>
      <c r="B3" s="26" t="s">
        <v>14</v>
      </c>
      <c r="C3" s="26">
        <v>78</v>
      </c>
      <c r="D3" s="26">
        <v>76</v>
      </c>
      <c r="E3" s="26">
        <v>70</v>
      </c>
      <c r="F3" s="27">
        <v>43281</v>
      </c>
      <c r="G3" s="17">
        <f t="shared" ref="G3:G21" si="0">C3+D3+E3</f>
        <v>224</v>
      </c>
      <c r="H3" s="17">
        <f t="shared" ref="H3:H21" si="1">ROUND((G3/300)*100,2)</f>
        <v>74.67</v>
      </c>
      <c r="I3" s="17" t="str">
        <f t="shared" ref="I3:I21" si="2">IF(H3&gt;80,"A",IF(H3&gt;60,"B",IF(H3&gt;40,"C")))</f>
        <v>B</v>
      </c>
      <c r="J3" s="23" t="str">
        <f t="shared" ref="J3:J21" si="3">IF(AND(C3&gt;80,D3&gt;80),"Yes","No")</f>
        <v>No</v>
      </c>
      <c r="K3" s="23">
        <f t="shared" ref="K3:K21" si="4">ROUND((C3+D3+E3)/3,2)</f>
        <v>74.67</v>
      </c>
      <c r="L3" s="23" t="str">
        <f t="shared" ref="L3:L21" si="5">UPPER(B3)</f>
        <v>VIVAN</v>
      </c>
      <c r="M3" s="23" t="str">
        <f t="shared" ref="M3:M21" si="6">LOWER(B3)</f>
        <v>vivan</v>
      </c>
    </row>
    <row r="4" spans="1:13">
      <c r="A4" s="26">
        <v>1003</v>
      </c>
      <c r="B4" s="26" t="s">
        <v>15</v>
      </c>
      <c r="C4" s="26">
        <v>97</v>
      </c>
      <c r="D4" s="26">
        <v>60</v>
      </c>
      <c r="E4" s="26">
        <v>51</v>
      </c>
      <c r="F4" s="27">
        <v>43461</v>
      </c>
      <c r="G4" s="17">
        <f t="shared" si="0"/>
        <v>208</v>
      </c>
      <c r="H4" s="17">
        <f t="shared" si="1"/>
        <v>69.33</v>
      </c>
      <c r="I4" s="17" t="str">
        <f t="shared" si="2"/>
        <v>B</v>
      </c>
      <c r="J4" s="23" t="str">
        <f t="shared" si="3"/>
        <v>No</v>
      </c>
      <c r="K4" s="23">
        <f t="shared" si="4"/>
        <v>69.33</v>
      </c>
      <c r="L4" s="23" t="str">
        <f t="shared" si="5"/>
        <v>ADITYA</v>
      </c>
      <c r="M4" s="23" t="str">
        <f t="shared" si="6"/>
        <v>aditya</v>
      </c>
    </row>
    <row r="5" spans="1:13">
      <c r="A5" s="26">
        <v>1004</v>
      </c>
      <c r="B5" s="26" t="s">
        <v>16</v>
      </c>
      <c r="C5" s="26">
        <v>74</v>
      </c>
      <c r="D5" s="26">
        <v>55</v>
      </c>
      <c r="E5" s="26">
        <v>46</v>
      </c>
      <c r="F5" s="27">
        <v>43641</v>
      </c>
      <c r="G5" s="17">
        <f t="shared" si="0"/>
        <v>175</v>
      </c>
      <c r="H5" s="17">
        <f t="shared" si="1"/>
        <v>58.33</v>
      </c>
      <c r="I5" s="17" t="str">
        <f t="shared" si="2"/>
        <v>C</v>
      </c>
      <c r="J5" s="23" t="str">
        <f t="shared" si="3"/>
        <v>No</v>
      </c>
      <c r="K5" s="23">
        <f t="shared" si="4"/>
        <v>58.33</v>
      </c>
      <c r="L5" s="23" t="str">
        <f t="shared" si="5"/>
        <v>ARJUN</v>
      </c>
      <c r="M5" s="23" t="str">
        <f t="shared" si="6"/>
        <v>arjun</v>
      </c>
    </row>
    <row r="6" spans="1:13">
      <c r="A6" s="26">
        <v>1005</v>
      </c>
      <c r="B6" s="26" t="s">
        <v>17</v>
      </c>
      <c r="C6" s="26">
        <v>68</v>
      </c>
      <c r="D6" s="26">
        <v>74</v>
      </c>
      <c r="E6" s="26">
        <v>84</v>
      </c>
      <c r="F6" s="27">
        <v>43821</v>
      </c>
      <c r="G6" s="17">
        <f t="shared" si="0"/>
        <v>226</v>
      </c>
      <c r="H6" s="17">
        <f t="shared" si="1"/>
        <v>75.33</v>
      </c>
      <c r="I6" s="17" t="str">
        <f t="shared" si="2"/>
        <v>B</v>
      </c>
      <c r="J6" s="23" t="str">
        <f t="shared" si="3"/>
        <v>No</v>
      </c>
      <c r="K6" s="23">
        <f t="shared" si="4"/>
        <v>75.33</v>
      </c>
      <c r="L6" s="23" t="str">
        <f t="shared" si="5"/>
        <v>REYANSH</v>
      </c>
      <c r="M6" s="23" t="str">
        <f t="shared" si="6"/>
        <v>reyansh</v>
      </c>
    </row>
    <row r="7" spans="1:13">
      <c r="A7" s="26">
        <v>1006</v>
      </c>
      <c r="B7" s="26" t="s">
        <v>18</v>
      </c>
      <c r="C7" s="26">
        <v>80</v>
      </c>
      <c r="D7" s="26">
        <v>70</v>
      </c>
      <c r="E7" s="26">
        <v>65</v>
      </c>
      <c r="F7" s="27">
        <v>44001</v>
      </c>
      <c r="G7" s="17">
        <f t="shared" si="0"/>
        <v>215</v>
      </c>
      <c r="H7" s="17">
        <f t="shared" si="1"/>
        <v>71.67</v>
      </c>
      <c r="I7" s="17" t="str">
        <f t="shared" si="2"/>
        <v>B</v>
      </c>
      <c r="J7" s="23" t="str">
        <f t="shared" si="3"/>
        <v>No</v>
      </c>
      <c r="K7" s="23">
        <f t="shared" si="4"/>
        <v>71.67</v>
      </c>
      <c r="L7" s="23" t="str">
        <f t="shared" si="5"/>
        <v>DHRUV</v>
      </c>
      <c r="M7" s="23" t="str">
        <f t="shared" si="6"/>
        <v>dhruv</v>
      </c>
    </row>
    <row r="8" spans="1:13">
      <c r="A8" s="26">
        <v>1007</v>
      </c>
      <c r="B8" s="26" t="s">
        <v>19</v>
      </c>
      <c r="C8" s="26">
        <v>75</v>
      </c>
      <c r="D8" s="26">
        <v>47</v>
      </c>
      <c r="E8" s="26">
        <v>78</v>
      </c>
      <c r="F8" s="27">
        <v>44181</v>
      </c>
      <c r="G8" s="17">
        <f t="shared" si="0"/>
        <v>200</v>
      </c>
      <c r="H8" s="17">
        <f t="shared" si="1"/>
        <v>66.67</v>
      </c>
      <c r="I8" s="17" t="str">
        <f t="shared" si="2"/>
        <v>B</v>
      </c>
      <c r="J8" s="23" t="str">
        <f t="shared" si="3"/>
        <v>No</v>
      </c>
      <c r="K8" s="23">
        <f t="shared" si="4"/>
        <v>66.67</v>
      </c>
      <c r="L8" s="23" t="str">
        <f t="shared" si="5"/>
        <v>KRISH</v>
      </c>
      <c r="M8" s="23" t="str">
        <f t="shared" si="6"/>
        <v>krish</v>
      </c>
    </row>
    <row r="9" spans="1:13">
      <c r="A9" s="26">
        <v>1008</v>
      </c>
      <c r="B9" s="26" t="s">
        <v>20</v>
      </c>
      <c r="C9" s="26">
        <v>94</v>
      </c>
      <c r="D9" s="26">
        <v>67</v>
      </c>
      <c r="E9" s="26">
        <v>64</v>
      </c>
      <c r="F9" s="27">
        <v>44361</v>
      </c>
      <c r="G9" s="17">
        <f t="shared" si="0"/>
        <v>225</v>
      </c>
      <c r="H9" s="17">
        <f t="shared" si="1"/>
        <v>75</v>
      </c>
      <c r="I9" s="17" t="str">
        <f t="shared" si="2"/>
        <v>B</v>
      </c>
      <c r="J9" s="23" t="str">
        <f t="shared" si="3"/>
        <v>No</v>
      </c>
      <c r="K9" s="23">
        <f t="shared" si="4"/>
        <v>75</v>
      </c>
      <c r="L9" s="23" t="str">
        <f t="shared" si="5"/>
        <v>YASH</v>
      </c>
      <c r="M9" s="23" t="str">
        <f t="shared" si="6"/>
        <v>yash</v>
      </c>
    </row>
    <row r="10" spans="1:13">
      <c r="A10" s="26">
        <v>1009</v>
      </c>
      <c r="B10" s="26" t="s">
        <v>21</v>
      </c>
      <c r="C10" s="26">
        <v>41</v>
      </c>
      <c r="D10" s="26">
        <v>75</v>
      </c>
      <c r="E10" s="26">
        <v>56</v>
      </c>
      <c r="F10" s="27">
        <v>44541</v>
      </c>
      <c r="G10" s="17">
        <f t="shared" si="0"/>
        <v>172</v>
      </c>
      <c r="H10" s="17">
        <f t="shared" si="1"/>
        <v>57.33</v>
      </c>
      <c r="I10" s="17" t="str">
        <f t="shared" si="2"/>
        <v>C</v>
      </c>
      <c r="J10" s="23" t="str">
        <f t="shared" si="3"/>
        <v>No</v>
      </c>
      <c r="K10" s="23">
        <f t="shared" si="4"/>
        <v>57.33</v>
      </c>
      <c r="L10" s="23" t="str">
        <f t="shared" si="5"/>
        <v>ROHAN</v>
      </c>
      <c r="M10" s="23" t="str">
        <f t="shared" si="6"/>
        <v>rohan</v>
      </c>
    </row>
    <row r="11" spans="1:13">
      <c r="A11" s="26">
        <v>1010</v>
      </c>
      <c r="B11" s="26" t="s">
        <v>22</v>
      </c>
      <c r="C11" s="26">
        <v>98</v>
      </c>
      <c r="D11" s="26">
        <v>54</v>
      </c>
      <c r="E11" s="26">
        <v>58</v>
      </c>
      <c r="F11" s="27">
        <v>44721</v>
      </c>
      <c r="G11" s="17">
        <f t="shared" si="0"/>
        <v>210</v>
      </c>
      <c r="H11" s="17">
        <f t="shared" si="1"/>
        <v>70</v>
      </c>
      <c r="I11" s="17" t="str">
        <f t="shared" si="2"/>
        <v>B</v>
      </c>
      <c r="J11" s="23" t="str">
        <f t="shared" si="3"/>
        <v>No</v>
      </c>
      <c r="K11" s="23">
        <f t="shared" si="4"/>
        <v>70</v>
      </c>
      <c r="L11" s="23" t="str">
        <f t="shared" si="5"/>
        <v>DEV</v>
      </c>
      <c r="M11" s="23" t="str">
        <f t="shared" si="6"/>
        <v>dev</v>
      </c>
    </row>
    <row r="12" spans="1:13">
      <c r="A12" s="26">
        <v>1011</v>
      </c>
      <c r="B12" s="26" t="s">
        <v>23</v>
      </c>
      <c r="C12" s="26">
        <v>73</v>
      </c>
      <c r="D12" s="26">
        <v>79</v>
      </c>
      <c r="E12" s="26">
        <v>53</v>
      </c>
      <c r="F12" s="27">
        <v>44901</v>
      </c>
      <c r="G12" s="17">
        <f t="shared" si="0"/>
        <v>205</v>
      </c>
      <c r="H12" s="17">
        <f t="shared" si="1"/>
        <v>68.33</v>
      </c>
      <c r="I12" s="17" t="str">
        <f t="shared" si="2"/>
        <v>B</v>
      </c>
      <c r="J12" s="23" t="str">
        <f t="shared" si="3"/>
        <v>No</v>
      </c>
      <c r="K12" s="23">
        <f t="shared" si="4"/>
        <v>68.33</v>
      </c>
      <c r="L12" s="23" t="str">
        <f t="shared" si="5"/>
        <v>HARSH</v>
      </c>
      <c r="M12" s="23" t="str">
        <f t="shared" si="6"/>
        <v>harsh</v>
      </c>
    </row>
    <row r="13" spans="1:13">
      <c r="A13" s="26">
        <v>1012</v>
      </c>
      <c r="B13" s="26" t="s">
        <v>24</v>
      </c>
      <c r="C13" s="26">
        <v>85</v>
      </c>
      <c r="D13" s="26">
        <v>89</v>
      </c>
      <c r="E13" s="26">
        <v>79</v>
      </c>
      <c r="F13" s="27">
        <v>45081</v>
      </c>
      <c r="G13" s="17">
        <f t="shared" si="0"/>
        <v>253</v>
      </c>
      <c r="H13" s="17">
        <f t="shared" si="1"/>
        <v>84.33</v>
      </c>
      <c r="I13" s="17" t="str">
        <f t="shared" si="2"/>
        <v>A</v>
      </c>
      <c r="J13" s="23" t="str">
        <f t="shared" si="3"/>
        <v>Yes</v>
      </c>
      <c r="K13" s="23">
        <f t="shared" si="4"/>
        <v>84.33</v>
      </c>
      <c r="L13" s="23" t="str">
        <f t="shared" si="5"/>
        <v>MANAV</v>
      </c>
      <c r="M13" s="23" t="str">
        <f t="shared" si="6"/>
        <v>manav</v>
      </c>
    </row>
    <row r="14" spans="1:13">
      <c r="A14" s="26">
        <v>1013</v>
      </c>
      <c r="B14" s="26" t="s">
        <v>25</v>
      </c>
      <c r="C14" s="26">
        <v>98</v>
      </c>
      <c r="D14" s="26">
        <v>90</v>
      </c>
      <c r="E14" s="26">
        <v>97</v>
      </c>
      <c r="F14" s="27">
        <v>45261</v>
      </c>
      <c r="G14" s="17">
        <f t="shared" si="0"/>
        <v>285</v>
      </c>
      <c r="H14" s="17">
        <f t="shared" si="1"/>
        <v>95</v>
      </c>
      <c r="I14" s="17" t="str">
        <f t="shared" si="2"/>
        <v>A</v>
      </c>
      <c r="J14" s="23" t="str">
        <f t="shared" si="3"/>
        <v>Yes</v>
      </c>
      <c r="K14" s="23">
        <f t="shared" si="4"/>
        <v>95</v>
      </c>
      <c r="L14" s="23" t="str">
        <f t="shared" si="5"/>
        <v>RUDRA</v>
      </c>
      <c r="M14" s="23" t="str">
        <f t="shared" si="6"/>
        <v>rudra</v>
      </c>
    </row>
    <row r="15" spans="1:13">
      <c r="A15" s="26">
        <v>1014</v>
      </c>
      <c r="B15" s="26" t="s">
        <v>26</v>
      </c>
      <c r="C15" s="26">
        <v>93</v>
      </c>
      <c r="D15" s="26">
        <v>40</v>
      </c>
      <c r="E15" s="26">
        <v>44</v>
      </c>
      <c r="F15" s="27">
        <v>45441</v>
      </c>
      <c r="G15" s="17">
        <f t="shared" si="0"/>
        <v>177</v>
      </c>
      <c r="H15" s="17">
        <f t="shared" si="1"/>
        <v>59</v>
      </c>
      <c r="I15" s="17" t="str">
        <f t="shared" si="2"/>
        <v>C</v>
      </c>
      <c r="J15" s="23" t="str">
        <f t="shared" si="3"/>
        <v>No</v>
      </c>
      <c r="K15" s="23">
        <f t="shared" si="4"/>
        <v>59</v>
      </c>
      <c r="L15" s="23" t="str">
        <f t="shared" si="5"/>
        <v>KABIR</v>
      </c>
      <c r="M15" s="23" t="str">
        <f t="shared" si="6"/>
        <v>kabir</v>
      </c>
    </row>
    <row r="16" spans="1:13">
      <c r="A16" s="26">
        <v>1015</v>
      </c>
      <c r="B16" s="26" t="s">
        <v>27</v>
      </c>
      <c r="C16" s="26">
        <v>70</v>
      </c>
      <c r="D16" s="26">
        <v>51</v>
      </c>
      <c r="E16" s="26">
        <v>75</v>
      </c>
      <c r="F16" s="27">
        <v>45621</v>
      </c>
      <c r="G16" s="17">
        <f t="shared" si="0"/>
        <v>196</v>
      </c>
      <c r="H16" s="17">
        <f t="shared" si="1"/>
        <v>65.33</v>
      </c>
      <c r="I16" s="17" t="str">
        <f t="shared" si="2"/>
        <v>B</v>
      </c>
      <c r="J16" s="23" t="str">
        <f t="shared" si="3"/>
        <v>No</v>
      </c>
      <c r="K16" s="23">
        <f t="shared" si="4"/>
        <v>65.33</v>
      </c>
      <c r="L16" s="23" t="str">
        <f t="shared" si="5"/>
        <v>PARTH</v>
      </c>
      <c r="M16" s="23" t="str">
        <f t="shared" si="6"/>
        <v>parth</v>
      </c>
    </row>
    <row r="17" spans="1:13">
      <c r="A17" s="26">
        <v>1016</v>
      </c>
      <c r="B17" s="26" t="s">
        <v>28</v>
      </c>
      <c r="C17" s="26">
        <v>98</v>
      </c>
      <c r="D17" s="26">
        <v>77</v>
      </c>
      <c r="E17" s="26">
        <v>60</v>
      </c>
      <c r="F17" s="27">
        <v>45801</v>
      </c>
      <c r="G17" s="17">
        <f t="shared" si="0"/>
        <v>235</v>
      </c>
      <c r="H17" s="17">
        <f t="shared" si="1"/>
        <v>78.33</v>
      </c>
      <c r="I17" s="17" t="str">
        <f t="shared" si="2"/>
        <v>B</v>
      </c>
      <c r="J17" s="23" t="str">
        <f t="shared" si="3"/>
        <v>No</v>
      </c>
      <c r="K17" s="23">
        <f t="shared" si="4"/>
        <v>78.33</v>
      </c>
      <c r="L17" s="23" t="str">
        <f t="shared" si="5"/>
        <v>VED</v>
      </c>
      <c r="M17" s="23" t="str">
        <f t="shared" si="6"/>
        <v>ved</v>
      </c>
    </row>
    <row r="18" spans="1:13">
      <c r="A18" s="26">
        <v>1017</v>
      </c>
      <c r="B18" s="26" t="s">
        <v>29</v>
      </c>
      <c r="C18" s="26">
        <v>66</v>
      </c>
      <c r="D18" s="26">
        <v>59</v>
      </c>
      <c r="E18" s="26">
        <v>40</v>
      </c>
      <c r="F18" s="27">
        <v>45981</v>
      </c>
      <c r="G18" s="17">
        <f t="shared" si="0"/>
        <v>165</v>
      </c>
      <c r="H18" s="17">
        <f t="shared" si="1"/>
        <v>55</v>
      </c>
      <c r="I18" s="17" t="str">
        <f t="shared" si="2"/>
        <v>C</v>
      </c>
      <c r="J18" s="23" t="str">
        <f t="shared" si="3"/>
        <v>No</v>
      </c>
      <c r="K18" s="23">
        <f t="shared" si="4"/>
        <v>55</v>
      </c>
      <c r="L18" s="23" t="str">
        <f t="shared" si="5"/>
        <v>SHIVAM</v>
      </c>
      <c r="M18" s="23" t="str">
        <f t="shared" si="6"/>
        <v>shivam</v>
      </c>
    </row>
    <row r="19" spans="1:13">
      <c r="A19" s="26">
        <v>1018</v>
      </c>
      <c r="B19" s="26" t="s">
        <v>30</v>
      </c>
      <c r="C19" s="26">
        <v>82</v>
      </c>
      <c r="D19" s="26">
        <v>48</v>
      </c>
      <c r="E19" s="26">
        <v>79</v>
      </c>
      <c r="F19" s="27">
        <v>46161</v>
      </c>
      <c r="G19" s="17">
        <f t="shared" si="0"/>
        <v>209</v>
      </c>
      <c r="H19" s="17">
        <f t="shared" si="1"/>
        <v>69.67</v>
      </c>
      <c r="I19" s="17" t="str">
        <f t="shared" si="2"/>
        <v>B</v>
      </c>
      <c r="J19" s="23" t="str">
        <f t="shared" si="3"/>
        <v>No</v>
      </c>
      <c r="K19" s="23">
        <f t="shared" si="4"/>
        <v>69.67</v>
      </c>
      <c r="L19" s="23" t="str">
        <f t="shared" si="5"/>
        <v>ANSH</v>
      </c>
      <c r="M19" s="23" t="str">
        <f t="shared" si="6"/>
        <v>ansh</v>
      </c>
    </row>
    <row r="20" spans="1:13">
      <c r="A20" s="26">
        <v>1019</v>
      </c>
      <c r="B20" s="26" t="s">
        <v>31</v>
      </c>
      <c r="C20" s="26">
        <v>90</v>
      </c>
      <c r="D20" s="26">
        <v>78</v>
      </c>
      <c r="E20" s="26">
        <v>60</v>
      </c>
      <c r="F20" s="27">
        <v>46341</v>
      </c>
      <c r="G20" s="17">
        <f t="shared" si="0"/>
        <v>228</v>
      </c>
      <c r="H20" s="17">
        <f t="shared" si="1"/>
        <v>76</v>
      </c>
      <c r="I20" s="17" t="str">
        <f t="shared" si="2"/>
        <v>B</v>
      </c>
      <c r="J20" s="23" t="str">
        <f t="shared" si="3"/>
        <v>No</v>
      </c>
      <c r="K20" s="23">
        <f t="shared" si="4"/>
        <v>76</v>
      </c>
      <c r="L20" s="23" t="str">
        <f t="shared" si="5"/>
        <v>AYUSH</v>
      </c>
      <c r="M20" s="23" t="str">
        <f t="shared" si="6"/>
        <v>ayush</v>
      </c>
    </row>
    <row r="21" spans="1:13">
      <c r="A21" s="26">
        <v>1020</v>
      </c>
      <c r="B21" s="26" t="s">
        <v>32</v>
      </c>
      <c r="C21" s="26">
        <v>83</v>
      </c>
      <c r="D21" s="26">
        <v>92</v>
      </c>
      <c r="E21" s="26">
        <v>55</v>
      </c>
      <c r="F21" s="27">
        <v>46521</v>
      </c>
      <c r="G21" s="17">
        <f t="shared" si="0"/>
        <v>230</v>
      </c>
      <c r="H21" s="17">
        <f t="shared" si="1"/>
        <v>76.67</v>
      </c>
      <c r="I21" s="17" t="str">
        <f t="shared" si="2"/>
        <v>B</v>
      </c>
      <c r="J21" s="23" t="str">
        <f t="shared" si="3"/>
        <v>Yes</v>
      </c>
      <c r="K21" s="23">
        <f t="shared" si="4"/>
        <v>76.67</v>
      </c>
      <c r="L21" s="23" t="str">
        <f t="shared" si="5"/>
        <v>KUNAL</v>
      </c>
      <c r="M21" s="23" t="str">
        <f t="shared" si="6"/>
        <v>kunal</v>
      </c>
    </row>
    <row r="23" spans="1:13">
      <c r="A23" s="33" t="s">
        <v>33</v>
      </c>
      <c r="B23" s="34"/>
      <c r="C23" s="34"/>
      <c r="D23" s="34"/>
      <c r="E23" s="34"/>
      <c r="F23" s="34"/>
      <c r="G23" s="5"/>
      <c r="H23" s="5"/>
    </row>
    <row r="24" spans="1:13">
      <c r="A24" s="35" t="s">
        <v>34</v>
      </c>
      <c r="B24" s="36"/>
      <c r="C24" s="36"/>
      <c r="D24" s="36"/>
      <c r="E24" s="36"/>
      <c r="F24" s="36"/>
      <c r="G24" s="6"/>
      <c r="H24" s="6"/>
    </row>
    <row r="25" spans="1:13">
      <c r="A25" s="37" t="s">
        <v>35</v>
      </c>
      <c r="B25" s="37"/>
      <c r="C25" s="37"/>
      <c r="D25" s="37"/>
      <c r="E25" s="37"/>
      <c r="F25" s="10">
        <f>COUNTIF(C2:C21,"&gt;50")</f>
        <v>19</v>
      </c>
    </row>
    <row r="26" spans="1:13">
      <c r="A26" s="3"/>
      <c r="B26" s="3"/>
      <c r="C26" s="3"/>
      <c r="D26" s="3"/>
      <c r="E26" s="3"/>
    </row>
    <row r="27" spans="1:13">
      <c r="A27" s="39" t="s">
        <v>36</v>
      </c>
      <c r="B27" s="39"/>
      <c r="C27" s="39"/>
      <c r="D27" s="39"/>
      <c r="E27" s="39"/>
      <c r="F27" s="39"/>
    </row>
    <row r="28" spans="1:13">
      <c r="A28" s="38" t="s">
        <v>37</v>
      </c>
      <c r="B28" s="38"/>
      <c r="C28" s="38"/>
      <c r="D28" s="38"/>
      <c r="E28" s="38"/>
      <c r="F28" s="38"/>
    </row>
    <row r="29" spans="1:13">
      <c r="A29" s="40">
        <f>ROUND(AVERAGEIFS(H2:H21, C2:C21, "&gt;60", D2:D21, "&gt;60", E2:E21, "&gt;60"),2)</f>
        <v>79.33</v>
      </c>
      <c r="B29" s="40"/>
      <c r="C29" s="40"/>
      <c r="D29" s="40"/>
      <c r="E29" s="40"/>
      <c r="F29" s="40"/>
    </row>
    <row r="30" spans="1:13">
      <c r="A30" s="40"/>
      <c r="B30" s="40"/>
      <c r="C30" s="40"/>
      <c r="D30" s="40"/>
      <c r="E30" s="40"/>
      <c r="F30" s="40"/>
    </row>
    <row r="32" spans="1:13">
      <c r="A32" s="42" t="s">
        <v>38</v>
      </c>
      <c r="B32" s="42"/>
      <c r="C32" s="42"/>
      <c r="D32" s="42"/>
      <c r="E32" s="42"/>
      <c r="F32" s="42"/>
    </row>
    <row r="33" spans="1:6">
      <c r="A33" s="41" t="s">
        <v>39</v>
      </c>
      <c r="B33" s="41"/>
      <c r="C33" s="41"/>
      <c r="D33" s="41"/>
      <c r="E33" s="41"/>
      <c r="F33" s="41"/>
    </row>
    <row r="34" spans="1:6">
      <c r="A34" s="3" t="s">
        <v>0</v>
      </c>
      <c r="B34" s="3" t="s">
        <v>1</v>
      </c>
    </row>
    <row r="35" spans="1:6">
      <c r="A35" s="3">
        <v>1001</v>
      </c>
      <c r="B35" s="3" t="str">
        <f>VLOOKUP(A35,A1:K21,2,FALSE)</f>
        <v>Aarav</v>
      </c>
    </row>
    <row r="36" spans="1:6">
      <c r="A36" s="3">
        <v>1002</v>
      </c>
      <c r="B36" s="3" t="str">
        <f t="shared" ref="B36:B54" si="7">VLOOKUP(A36,A2:K22,2,FALSE)</f>
        <v>Vivan</v>
      </c>
    </row>
    <row r="37" spans="1:6">
      <c r="A37" s="3">
        <v>1003</v>
      </c>
      <c r="B37" s="3" t="str">
        <f t="shared" si="7"/>
        <v>Aditya</v>
      </c>
    </row>
    <row r="38" spans="1:6">
      <c r="A38" s="3">
        <v>1004</v>
      </c>
      <c r="B38" s="3" t="str">
        <f t="shared" si="7"/>
        <v>Arjun</v>
      </c>
    </row>
    <row r="39" spans="1:6">
      <c r="A39" s="3">
        <v>1005</v>
      </c>
      <c r="B39" s="3" t="str">
        <f t="shared" si="7"/>
        <v>Reyansh</v>
      </c>
    </row>
    <row r="40" spans="1:6">
      <c r="A40" s="3">
        <v>1006</v>
      </c>
      <c r="B40" s="3" t="str">
        <f t="shared" si="7"/>
        <v>Dhruv</v>
      </c>
    </row>
    <row r="41" spans="1:6">
      <c r="A41" s="3">
        <v>1007</v>
      </c>
      <c r="B41" s="3" t="str">
        <f t="shared" si="7"/>
        <v>Krish</v>
      </c>
    </row>
    <row r="42" spans="1:6">
      <c r="A42" s="3">
        <v>1008</v>
      </c>
      <c r="B42" s="3" t="str">
        <f t="shared" si="7"/>
        <v>Yash</v>
      </c>
    </row>
    <row r="43" spans="1:6">
      <c r="A43" s="3">
        <v>1009</v>
      </c>
      <c r="B43" s="3" t="str">
        <f t="shared" si="7"/>
        <v>Rohan</v>
      </c>
    </row>
    <row r="44" spans="1:6">
      <c r="A44" s="3">
        <v>1010</v>
      </c>
      <c r="B44" s="3" t="str">
        <f t="shared" si="7"/>
        <v>Dev</v>
      </c>
    </row>
    <row r="45" spans="1:6">
      <c r="A45" s="3">
        <v>1011</v>
      </c>
      <c r="B45" s="3" t="str">
        <f t="shared" si="7"/>
        <v>Harsh</v>
      </c>
    </row>
    <row r="46" spans="1:6">
      <c r="A46" s="3">
        <v>1012</v>
      </c>
      <c r="B46" s="3" t="str">
        <f t="shared" si="7"/>
        <v>Manav</v>
      </c>
    </row>
    <row r="47" spans="1:6">
      <c r="A47" s="3">
        <v>1013</v>
      </c>
      <c r="B47" s="3" t="str">
        <f t="shared" si="7"/>
        <v>Rudra</v>
      </c>
    </row>
    <row r="48" spans="1:6">
      <c r="A48" s="3">
        <v>1014</v>
      </c>
      <c r="B48" s="3" t="str">
        <f t="shared" si="7"/>
        <v>Kabir</v>
      </c>
    </row>
    <row r="49" spans="1:2">
      <c r="A49" s="3">
        <v>1015</v>
      </c>
      <c r="B49" s="3" t="str">
        <f t="shared" si="7"/>
        <v>Parth</v>
      </c>
    </row>
    <row r="50" spans="1:2">
      <c r="A50" s="3">
        <v>1016</v>
      </c>
      <c r="B50" s="3" t="str">
        <f t="shared" si="7"/>
        <v>Ved</v>
      </c>
    </row>
    <row r="51" spans="1:2">
      <c r="A51" s="3">
        <v>1017</v>
      </c>
      <c r="B51" s="3" t="str">
        <f t="shared" si="7"/>
        <v>Shivam</v>
      </c>
    </row>
    <row r="52" spans="1:2">
      <c r="A52" s="3">
        <v>1018</v>
      </c>
      <c r="B52" s="3" t="str">
        <f t="shared" si="7"/>
        <v>Ansh</v>
      </c>
    </row>
    <row r="53" spans="1:2">
      <c r="A53" s="3">
        <v>1019</v>
      </c>
      <c r="B53" s="3" t="str">
        <f t="shared" si="7"/>
        <v>Ayush</v>
      </c>
    </row>
    <row r="54" spans="1:2">
      <c r="A54" s="3">
        <v>1020</v>
      </c>
      <c r="B54" s="3" t="str">
        <f t="shared" si="7"/>
        <v>Kunal</v>
      </c>
    </row>
  </sheetData>
  <mergeCells count="8">
    <mergeCell ref="A29:F30"/>
    <mergeCell ref="A33:F33"/>
    <mergeCell ref="A32:F32"/>
    <mergeCell ref="A23:F23"/>
    <mergeCell ref="A24:F24"/>
    <mergeCell ref="A25:E25"/>
    <mergeCell ref="A28:F28"/>
    <mergeCell ref="A27:F27"/>
  </mergeCells>
  <conditionalFormatting sqref="J2:J21">
    <cfRule type="containsText" dxfId="2" priority="2" operator="containsText" text="Yes">
      <formula>NOT(ISERROR(SEARCH("Yes",J2)))</formula>
    </cfRule>
  </conditionalFormatting>
  <conditionalFormatting sqref="I2:I21">
    <cfRule type="containsText" dxfId="1" priority="1" operator="containsText" text="A">
      <formula>NOT(ISERROR(SEARCH("A",I2)))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17A8-A7BD-4E2E-939B-6107E9099511}">
  <dimension ref="A1:O48"/>
  <sheetViews>
    <sheetView topLeftCell="G1" workbookViewId="0">
      <selection activeCell="O2" sqref="O2:O21"/>
    </sheetView>
  </sheetViews>
  <sheetFormatPr defaultRowHeight="15"/>
  <cols>
    <col min="1" max="1" width="9.42578125" bestFit="1" customWidth="1"/>
    <col min="2" max="2" width="11.7109375" bestFit="1" customWidth="1"/>
    <col min="3" max="3" width="7.28515625" bestFit="1" customWidth="1"/>
    <col min="4" max="4" width="11.85546875" bestFit="1" customWidth="1"/>
    <col min="5" max="5" width="10.85546875" bestFit="1" customWidth="1"/>
    <col min="6" max="6" width="11.7109375" bestFit="1" customWidth="1"/>
    <col min="8" max="8" width="20.28515625" bestFit="1" customWidth="1"/>
    <col min="9" max="9" width="30.28515625" bestFit="1" customWidth="1"/>
    <col min="10" max="10" width="11.7109375" bestFit="1" customWidth="1"/>
    <col min="11" max="11" width="13.5703125" bestFit="1" customWidth="1"/>
    <col min="12" max="12" width="14.140625" bestFit="1" customWidth="1"/>
    <col min="13" max="14" width="30.140625" bestFit="1" customWidth="1"/>
    <col min="15" max="15" width="28.85546875" bestFit="1" customWidth="1"/>
  </cols>
  <sheetData>
    <row r="1" spans="1:1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18" t="s">
        <v>46</v>
      </c>
      <c r="H1" s="18" t="s">
        <v>47</v>
      </c>
      <c r="I1" s="19" t="s">
        <v>48</v>
      </c>
      <c r="J1" s="19" t="s">
        <v>11</v>
      </c>
      <c r="K1" s="19" t="s">
        <v>49</v>
      </c>
      <c r="L1" s="28" t="s">
        <v>50</v>
      </c>
      <c r="M1" s="28" t="s">
        <v>51</v>
      </c>
      <c r="N1" s="32" t="s">
        <v>52</v>
      </c>
      <c r="O1" s="32" t="s">
        <v>53</v>
      </c>
    </row>
    <row r="2" spans="1:15">
      <c r="A2" s="14">
        <v>2001</v>
      </c>
      <c r="B2" s="14" t="s">
        <v>54</v>
      </c>
      <c r="C2" s="14" t="s">
        <v>55</v>
      </c>
      <c r="D2" s="14" t="s">
        <v>56</v>
      </c>
      <c r="E2" s="20">
        <v>7048</v>
      </c>
      <c r="F2" s="16">
        <v>44927</v>
      </c>
      <c r="G2" s="21" t="str">
        <f>IF(C2="South","10%",IF(C2="West","15%",IF(C2="East","2.5%",IF(C2="North","5%"))))</f>
        <v>10%</v>
      </c>
      <c r="H2" s="22">
        <f>E2*(1-G2)</f>
        <v>6343.2</v>
      </c>
      <c r="I2" s="23" t="str">
        <f>IF(OR(E2&gt;10000,B2="Monitor"),"Eligible","Not Eligible")</f>
        <v>Not Eligible</v>
      </c>
      <c r="J2" s="23" t="str">
        <f>UPPER(D2)</f>
        <v>RAHUL</v>
      </c>
      <c r="K2" s="23" t="str">
        <f>LOWER(D2)</f>
        <v>rahul</v>
      </c>
      <c r="L2" s="29">
        <f ca="1">TODAY()-F2</f>
        <v>1385</v>
      </c>
      <c r="M2" s="31">
        <f>ROUND(H2,-3)</f>
        <v>6000</v>
      </c>
      <c r="N2">
        <f>CEILING(H2,1000)</f>
        <v>7000</v>
      </c>
      <c r="O2">
        <f>FLOOR(H2,1000)</f>
        <v>6000</v>
      </c>
    </row>
    <row r="3" spans="1:15">
      <c r="A3" s="14">
        <v>2002</v>
      </c>
      <c r="B3" s="14" t="s">
        <v>57</v>
      </c>
      <c r="C3" s="14" t="s">
        <v>58</v>
      </c>
      <c r="D3" s="14" t="s">
        <v>59</v>
      </c>
      <c r="E3" s="20">
        <v>17428</v>
      </c>
      <c r="F3" s="16">
        <v>44942</v>
      </c>
      <c r="G3" s="21" t="str">
        <f t="shared" ref="G3:G21" si="0">IF(C3="South","10%",IF(C3="West","15%",IF(C3="East","2.5%",IF(C3="North","5%"))))</f>
        <v>15%</v>
      </c>
      <c r="H3" s="22">
        <f t="shared" ref="H3:H21" si="1">E3*(1-G3)</f>
        <v>14813.8</v>
      </c>
      <c r="I3" s="23" t="str">
        <f t="shared" ref="I3:I21" si="2">IF(OR(E3&gt;10000,B3="Monitor"),"Eligible","Not Eligible")</f>
        <v>Eligible</v>
      </c>
      <c r="J3" s="23" t="str">
        <f t="shared" ref="J3:J21" si="3">UPPER(D3)</f>
        <v xml:space="preserve">AMIT </v>
      </c>
      <c r="K3" s="23" t="str">
        <f t="shared" ref="K3:K21" si="4">LOWER(D3)</f>
        <v xml:space="preserve">amit </v>
      </c>
      <c r="L3" s="29">
        <f t="shared" ref="L3:L21" ca="1" si="5">TODAY()-F3</f>
        <v>1370</v>
      </c>
      <c r="M3" s="31">
        <f t="shared" ref="M3:M21" si="6">ROUND(H3,-3)</f>
        <v>15000</v>
      </c>
      <c r="N3">
        <f t="shared" ref="N3:N21" si="7">CEILING(H3,1000)</f>
        <v>15000</v>
      </c>
      <c r="O3">
        <f t="shared" ref="O3:O21" si="8">FLOOR(H3,1000)</f>
        <v>14000</v>
      </c>
    </row>
    <row r="4" spans="1:15">
      <c r="A4" s="14">
        <v>2003</v>
      </c>
      <c r="B4" s="14" t="s">
        <v>60</v>
      </c>
      <c r="C4" s="14" t="s">
        <v>55</v>
      </c>
      <c r="D4" s="14" t="s">
        <v>61</v>
      </c>
      <c r="E4" s="20">
        <v>23672</v>
      </c>
      <c r="F4" s="16">
        <v>44957</v>
      </c>
      <c r="G4" s="21" t="str">
        <f t="shared" si="0"/>
        <v>10%</v>
      </c>
      <c r="H4" s="22">
        <f t="shared" si="1"/>
        <v>21304.799999999999</v>
      </c>
      <c r="I4" s="23" t="str">
        <f t="shared" si="2"/>
        <v>Eligible</v>
      </c>
      <c r="J4" s="23" t="str">
        <f t="shared" si="3"/>
        <v>NEHA</v>
      </c>
      <c r="K4" s="23" t="str">
        <f t="shared" si="4"/>
        <v>neha</v>
      </c>
      <c r="L4" s="29">
        <f t="shared" ca="1" si="5"/>
        <v>1355</v>
      </c>
      <c r="M4" s="31">
        <f t="shared" si="6"/>
        <v>21000</v>
      </c>
      <c r="N4">
        <f t="shared" si="7"/>
        <v>22000</v>
      </c>
      <c r="O4">
        <f t="shared" si="8"/>
        <v>21000</v>
      </c>
    </row>
    <row r="5" spans="1:15">
      <c r="A5" s="14">
        <v>2004</v>
      </c>
      <c r="B5" s="14" t="s">
        <v>57</v>
      </c>
      <c r="C5" s="14" t="s">
        <v>62</v>
      </c>
      <c r="D5" s="14" t="s">
        <v>63</v>
      </c>
      <c r="E5" s="20">
        <v>5264</v>
      </c>
      <c r="F5" s="16">
        <v>44972</v>
      </c>
      <c r="G5" s="21" t="str">
        <f t="shared" si="0"/>
        <v>2.5%</v>
      </c>
      <c r="H5" s="22">
        <f t="shared" si="1"/>
        <v>5132.3999999999996</v>
      </c>
      <c r="I5" s="23" t="str">
        <f t="shared" si="2"/>
        <v>Not Eligible</v>
      </c>
      <c r="J5" s="23" t="str">
        <f t="shared" si="3"/>
        <v>PRIYA</v>
      </c>
      <c r="K5" s="23" t="str">
        <f t="shared" si="4"/>
        <v>priya</v>
      </c>
      <c r="L5" s="29">
        <f t="shared" ca="1" si="5"/>
        <v>1340</v>
      </c>
      <c r="M5" s="31">
        <f t="shared" si="6"/>
        <v>5000</v>
      </c>
      <c r="N5">
        <f t="shared" si="7"/>
        <v>6000</v>
      </c>
      <c r="O5">
        <f t="shared" si="8"/>
        <v>5000</v>
      </c>
    </row>
    <row r="6" spans="1:15">
      <c r="A6" s="14">
        <v>2005</v>
      </c>
      <c r="B6" s="14" t="s">
        <v>54</v>
      </c>
      <c r="C6" s="14" t="s">
        <v>64</v>
      </c>
      <c r="D6" s="14" t="s">
        <v>21</v>
      </c>
      <c r="E6" s="20">
        <v>43388</v>
      </c>
      <c r="F6" s="16">
        <v>44987</v>
      </c>
      <c r="G6" s="21" t="str">
        <f t="shared" si="0"/>
        <v>5%</v>
      </c>
      <c r="H6" s="22">
        <f t="shared" si="1"/>
        <v>41218.6</v>
      </c>
      <c r="I6" s="23" t="str">
        <f t="shared" si="2"/>
        <v>Eligible</v>
      </c>
      <c r="J6" s="23" t="str">
        <f t="shared" si="3"/>
        <v>ROHAN</v>
      </c>
      <c r="K6" s="23" t="str">
        <f t="shared" si="4"/>
        <v>rohan</v>
      </c>
      <c r="L6" s="29">
        <f t="shared" ca="1" si="5"/>
        <v>1325</v>
      </c>
      <c r="M6" s="31">
        <f t="shared" si="6"/>
        <v>41000</v>
      </c>
      <c r="N6">
        <f t="shared" si="7"/>
        <v>42000</v>
      </c>
      <c r="O6">
        <f t="shared" si="8"/>
        <v>41000</v>
      </c>
    </row>
    <row r="7" spans="1:15">
      <c r="A7" s="14">
        <v>2006</v>
      </c>
      <c r="B7" s="14" t="s">
        <v>60</v>
      </c>
      <c r="C7" s="14" t="s">
        <v>64</v>
      </c>
      <c r="D7" s="14" t="s">
        <v>65</v>
      </c>
      <c r="E7" s="20">
        <v>19757</v>
      </c>
      <c r="F7" s="16">
        <v>45002</v>
      </c>
      <c r="G7" s="21" t="str">
        <f t="shared" si="0"/>
        <v>5%</v>
      </c>
      <c r="H7" s="22">
        <f t="shared" si="1"/>
        <v>18769.149999999998</v>
      </c>
      <c r="I7" s="23" t="str">
        <f t="shared" si="2"/>
        <v>Eligible</v>
      </c>
      <c r="J7" s="23" t="str">
        <f t="shared" si="3"/>
        <v>KARAN</v>
      </c>
      <c r="K7" s="23" t="str">
        <f t="shared" si="4"/>
        <v>karan</v>
      </c>
      <c r="L7" s="29">
        <f t="shared" ca="1" si="5"/>
        <v>1310</v>
      </c>
      <c r="M7" s="31">
        <f t="shared" si="6"/>
        <v>19000</v>
      </c>
      <c r="N7">
        <f t="shared" si="7"/>
        <v>19000</v>
      </c>
      <c r="O7">
        <f t="shared" si="8"/>
        <v>18000</v>
      </c>
    </row>
    <row r="8" spans="1:15">
      <c r="A8" s="14">
        <v>2007</v>
      </c>
      <c r="B8" s="14" t="s">
        <v>60</v>
      </c>
      <c r="C8" s="14" t="s">
        <v>62</v>
      </c>
      <c r="D8" s="14" t="s">
        <v>66</v>
      </c>
      <c r="E8" s="20">
        <v>32058</v>
      </c>
      <c r="F8" s="16">
        <v>45017</v>
      </c>
      <c r="G8" s="21" t="str">
        <f t="shared" si="0"/>
        <v>2.5%</v>
      </c>
      <c r="H8" s="22">
        <f t="shared" si="1"/>
        <v>31256.55</v>
      </c>
      <c r="I8" s="23" t="str">
        <f t="shared" si="2"/>
        <v>Eligible</v>
      </c>
      <c r="J8" s="23" t="str">
        <f t="shared" si="3"/>
        <v>SNEHA</v>
      </c>
      <c r="K8" s="23" t="str">
        <f t="shared" si="4"/>
        <v>sneha</v>
      </c>
      <c r="L8" s="29">
        <f t="shared" ca="1" si="5"/>
        <v>1295</v>
      </c>
      <c r="M8" s="31">
        <f t="shared" si="6"/>
        <v>31000</v>
      </c>
      <c r="N8">
        <f t="shared" si="7"/>
        <v>32000</v>
      </c>
      <c r="O8">
        <f t="shared" si="8"/>
        <v>31000</v>
      </c>
    </row>
    <row r="9" spans="1:15">
      <c r="A9" s="14">
        <v>2008</v>
      </c>
      <c r="B9" s="14" t="s">
        <v>54</v>
      </c>
      <c r="C9" s="14" t="s">
        <v>62</v>
      </c>
      <c r="D9" s="14" t="s">
        <v>67</v>
      </c>
      <c r="E9" s="20">
        <v>46429</v>
      </c>
      <c r="F9" s="16">
        <v>45032</v>
      </c>
      <c r="G9" s="21" t="str">
        <f t="shared" si="0"/>
        <v>2.5%</v>
      </c>
      <c r="H9" s="22">
        <f t="shared" si="1"/>
        <v>45268.275000000001</v>
      </c>
      <c r="I9" s="23" t="str">
        <f t="shared" si="2"/>
        <v>Eligible</v>
      </c>
      <c r="J9" s="23" t="str">
        <f t="shared" si="3"/>
        <v>AKASH</v>
      </c>
      <c r="K9" s="23" t="str">
        <f t="shared" si="4"/>
        <v>akash</v>
      </c>
      <c r="L9" s="29">
        <f t="shared" ca="1" si="5"/>
        <v>1280</v>
      </c>
      <c r="M9" s="31">
        <f t="shared" si="6"/>
        <v>45000</v>
      </c>
      <c r="N9">
        <f t="shared" si="7"/>
        <v>46000</v>
      </c>
      <c r="O9">
        <f t="shared" si="8"/>
        <v>45000</v>
      </c>
    </row>
    <row r="10" spans="1:15">
      <c r="A10" s="14">
        <v>2009</v>
      </c>
      <c r="B10" s="14" t="s">
        <v>57</v>
      </c>
      <c r="C10" s="14" t="s">
        <v>62</v>
      </c>
      <c r="D10" s="14" t="s">
        <v>68</v>
      </c>
      <c r="E10" s="20">
        <v>19746</v>
      </c>
      <c r="F10" s="16">
        <v>45047</v>
      </c>
      <c r="G10" s="21" t="str">
        <f t="shared" si="0"/>
        <v>2.5%</v>
      </c>
      <c r="H10" s="22">
        <f t="shared" si="1"/>
        <v>19252.349999999999</v>
      </c>
      <c r="I10" s="23" t="str">
        <f t="shared" si="2"/>
        <v>Eligible</v>
      </c>
      <c r="J10" s="23" t="str">
        <f t="shared" si="3"/>
        <v>POOJA</v>
      </c>
      <c r="K10" s="23" t="str">
        <f t="shared" si="4"/>
        <v>pooja</v>
      </c>
      <c r="L10" s="29">
        <f t="shared" ca="1" si="5"/>
        <v>1265</v>
      </c>
      <c r="M10" s="31">
        <f t="shared" si="6"/>
        <v>19000</v>
      </c>
      <c r="N10">
        <f t="shared" si="7"/>
        <v>20000</v>
      </c>
      <c r="O10">
        <f t="shared" si="8"/>
        <v>19000</v>
      </c>
    </row>
    <row r="11" spans="1:15">
      <c r="A11" s="14">
        <v>2010</v>
      </c>
      <c r="B11" s="14" t="s">
        <v>54</v>
      </c>
      <c r="C11" s="14" t="s">
        <v>55</v>
      </c>
      <c r="D11" s="14" t="s">
        <v>69</v>
      </c>
      <c r="E11" s="20">
        <v>35185</v>
      </c>
      <c r="F11" s="16">
        <v>45062</v>
      </c>
      <c r="G11" s="21" t="str">
        <f t="shared" si="0"/>
        <v>10%</v>
      </c>
      <c r="H11" s="22">
        <f t="shared" si="1"/>
        <v>31666.5</v>
      </c>
      <c r="I11" s="23" t="str">
        <f t="shared" si="2"/>
        <v>Eligible</v>
      </c>
      <c r="J11" s="23" t="str">
        <f t="shared" si="3"/>
        <v>VIVEK</v>
      </c>
      <c r="K11" s="23" t="str">
        <f t="shared" si="4"/>
        <v>vivek</v>
      </c>
      <c r="L11" s="29">
        <f t="shared" ca="1" si="5"/>
        <v>1250</v>
      </c>
      <c r="M11" s="31">
        <f t="shared" si="6"/>
        <v>32000</v>
      </c>
      <c r="N11">
        <f t="shared" si="7"/>
        <v>32000</v>
      </c>
      <c r="O11">
        <f t="shared" si="8"/>
        <v>31000</v>
      </c>
    </row>
    <row r="12" spans="1:15">
      <c r="A12" s="14">
        <v>2011</v>
      </c>
      <c r="B12" s="14" t="s">
        <v>54</v>
      </c>
      <c r="C12" s="14" t="s">
        <v>62</v>
      </c>
      <c r="D12" s="14" t="s">
        <v>70</v>
      </c>
      <c r="E12" s="20">
        <v>33920</v>
      </c>
      <c r="F12" s="16">
        <v>45077</v>
      </c>
      <c r="G12" s="21" t="str">
        <f t="shared" si="0"/>
        <v>2.5%</v>
      </c>
      <c r="H12" s="22">
        <f t="shared" si="1"/>
        <v>33072</v>
      </c>
      <c r="I12" s="23" t="str">
        <f t="shared" si="2"/>
        <v>Eligible</v>
      </c>
      <c r="J12" s="23" t="str">
        <f t="shared" si="3"/>
        <v>RAJ</v>
      </c>
      <c r="K12" s="23" t="str">
        <f t="shared" si="4"/>
        <v>raj</v>
      </c>
      <c r="L12" s="29">
        <f t="shared" ca="1" si="5"/>
        <v>1235</v>
      </c>
      <c r="M12" s="31">
        <f t="shared" si="6"/>
        <v>33000</v>
      </c>
      <c r="N12">
        <f t="shared" si="7"/>
        <v>34000</v>
      </c>
      <c r="O12">
        <f t="shared" si="8"/>
        <v>33000</v>
      </c>
    </row>
    <row r="13" spans="1:15">
      <c r="A13" s="14">
        <v>2012</v>
      </c>
      <c r="B13" s="14" t="s">
        <v>71</v>
      </c>
      <c r="C13" s="14" t="s">
        <v>64</v>
      </c>
      <c r="D13" s="14" t="s">
        <v>72</v>
      </c>
      <c r="E13" s="20">
        <v>35611</v>
      </c>
      <c r="F13" s="16">
        <v>45092</v>
      </c>
      <c r="G13" s="21" t="str">
        <f t="shared" si="0"/>
        <v>5%</v>
      </c>
      <c r="H13" s="22">
        <f t="shared" si="1"/>
        <v>33830.449999999997</v>
      </c>
      <c r="I13" s="23" t="str">
        <f t="shared" si="2"/>
        <v>Eligible</v>
      </c>
      <c r="J13" s="23" t="str">
        <f t="shared" si="3"/>
        <v>ANJALI</v>
      </c>
      <c r="K13" s="23" t="str">
        <f t="shared" si="4"/>
        <v>anjali</v>
      </c>
      <c r="L13" s="29">
        <f t="shared" ca="1" si="5"/>
        <v>1220</v>
      </c>
      <c r="M13" s="31">
        <f t="shared" si="6"/>
        <v>34000</v>
      </c>
      <c r="N13">
        <f t="shared" si="7"/>
        <v>34000</v>
      </c>
      <c r="O13">
        <f t="shared" si="8"/>
        <v>33000</v>
      </c>
    </row>
    <row r="14" spans="1:15">
      <c r="A14" s="14">
        <v>2013</v>
      </c>
      <c r="B14" s="14" t="s">
        <v>73</v>
      </c>
      <c r="C14" s="14" t="s">
        <v>62</v>
      </c>
      <c r="D14" s="14" t="s">
        <v>74</v>
      </c>
      <c r="E14" s="20">
        <v>15560</v>
      </c>
      <c r="F14" s="16">
        <v>45107</v>
      </c>
      <c r="G14" s="21" t="str">
        <f t="shared" si="0"/>
        <v>2.5%</v>
      </c>
      <c r="H14" s="22">
        <f t="shared" si="1"/>
        <v>15171</v>
      </c>
      <c r="I14" s="23" t="str">
        <f t="shared" si="2"/>
        <v>Eligible</v>
      </c>
      <c r="J14" s="23" t="str">
        <f t="shared" si="3"/>
        <v>NIKHIL</v>
      </c>
      <c r="K14" s="23" t="str">
        <f t="shared" si="4"/>
        <v>nikhil</v>
      </c>
      <c r="L14" s="29">
        <f t="shared" ca="1" si="5"/>
        <v>1205</v>
      </c>
      <c r="M14" s="31">
        <f t="shared" si="6"/>
        <v>15000</v>
      </c>
      <c r="N14">
        <f t="shared" si="7"/>
        <v>16000</v>
      </c>
      <c r="O14">
        <f t="shared" si="8"/>
        <v>15000</v>
      </c>
    </row>
    <row r="15" spans="1:15">
      <c r="A15" s="14">
        <v>2014</v>
      </c>
      <c r="B15" s="14" t="s">
        <v>73</v>
      </c>
      <c r="C15" s="14" t="s">
        <v>55</v>
      </c>
      <c r="D15" s="14" t="s">
        <v>75</v>
      </c>
      <c r="E15" s="20">
        <v>7283</v>
      </c>
      <c r="F15" s="16">
        <v>45122</v>
      </c>
      <c r="G15" s="21" t="str">
        <f t="shared" si="0"/>
        <v>10%</v>
      </c>
      <c r="H15" s="22">
        <f t="shared" si="1"/>
        <v>6554.7</v>
      </c>
      <c r="I15" s="23" t="str">
        <f t="shared" si="2"/>
        <v>Not Eligible</v>
      </c>
      <c r="J15" s="23" t="str">
        <f t="shared" si="3"/>
        <v>KOMAL</v>
      </c>
      <c r="K15" s="23" t="str">
        <f t="shared" si="4"/>
        <v>komal</v>
      </c>
      <c r="L15" s="29">
        <f t="shared" ca="1" si="5"/>
        <v>1190</v>
      </c>
      <c r="M15" s="31">
        <f t="shared" si="6"/>
        <v>7000</v>
      </c>
      <c r="N15">
        <f t="shared" si="7"/>
        <v>7000</v>
      </c>
      <c r="O15">
        <f t="shared" si="8"/>
        <v>6000</v>
      </c>
    </row>
    <row r="16" spans="1:15">
      <c r="A16" s="14">
        <v>2015</v>
      </c>
      <c r="B16" s="14" t="s">
        <v>73</v>
      </c>
      <c r="C16" s="14" t="s">
        <v>62</v>
      </c>
      <c r="D16" s="14" t="s">
        <v>76</v>
      </c>
      <c r="E16" s="20">
        <v>15678</v>
      </c>
      <c r="F16" s="16">
        <v>45137</v>
      </c>
      <c r="G16" s="21" t="str">
        <f t="shared" si="0"/>
        <v>2.5%</v>
      </c>
      <c r="H16" s="22">
        <f t="shared" si="1"/>
        <v>15286.05</v>
      </c>
      <c r="I16" s="23" t="str">
        <f t="shared" si="2"/>
        <v>Eligible</v>
      </c>
      <c r="J16" s="23" t="str">
        <f t="shared" si="3"/>
        <v>SAGAR</v>
      </c>
      <c r="K16" s="23" t="str">
        <f t="shared" si="4"/>
        <v>sagar</v>
      </c>
      <c r="L16" s="29">
        <f t="shared" ca="1" si="5"/>
        <v>1175</v>
      </c>
      <c r="M16" s="31">
        <f t="shared" si="6"/>
        <v>15000</v>
      </c>
      <c r="N16">
        <f t="shared" si="7"/>
        <v>16000</v>
      </c>
      <c r="O16">
        <f t="shared" si="8"/>
        <v>15000</v>
      </c>
    </row>
    <row r="17" spans="1:15">
      <c r="A17" s="14">
        <v>2016</v>
      </c>
      <c r="B17" s="14" t="s">
        <v>60</v>
      </c>
      <c r="C17" s="14" t="s">
        <v>62</v>
      </c>
      <c r="D17" s="14" t="s">
        <v>77</v>
      </c>
      <c r="E17" s="20">
        <v>5277</v>
      </c>
      <c r="F17" s="16">
        <v>45152</v>
      </c>
      <c r="G17" s="21" t="str">
        <f t="shared" si="0"/>
        <v>2.5%</v>
      </c>
      <c r="H17" s="22">
        <f t="shared" si="1"/>
        <v>5145.0749999999998</v>
      </c>
      <c r="I17" s="23" t="str">
        <f t="shared" si="2"/>
        <v>Not Eligible</v>
      </c>
      <c r="J17" s="23" t="str">
        <f t="shared" si="3"/>
        <v>TUSHAR</v>
      </c>
      <c r="K17" s="23" t="str">
        <f t="shared" si="4"/>
        <v>tushar</v>
      </c>
      <c r="L17" s="29">
        <f t="shared" ca="1" si="5"/>
        <v>1160</v>
      </c>
      <c r="M17" s="31">
        <f t="shared" si="6"/>
        <v>5000</v>
      </c>
      <c r="N17">
        <f t="shared" si="7"/>
        <v>6000</v>
      </c>
      <c r="O17">
        <f t="shared" si="8"/>
        <v>5000</v>
      </c>
    </row>
    <row r="18" spans="1:15">
      <c r="A18" s="14">
        <v>2017</v>
      </c>
      <c r="B18" s="14" t="s">
        <v>71</v>
      </c>
      <c r="C18" s="14" t="s">
        <v>64</v>
      </c>
      <c r="D18" s="14" t="s">
        <v>78</v>
      </c>
      <c r="E18" s="20">
        <v>41871</v>
      </c>
      <c r="F18" s="16">
        <v>45167</v>
      </c>
      <c r="G18" s="21" t="str">
        <f t="shared" si="0"/>
        <v>5%</v>
      </c>
      <c r="H18" s="22">
        <f t="shared" si="1"/>
        <v>39777.449999999997</v>
      </c>
      <c r="I18" s="23" t="str">
        <f t="shared" si="2"/>
        <v>Eligible</v>
      </c>
      <c r="J18" s="23" t="str">
        <f t="shared" si="3"/>
        <v>RIYA</v>
      </c>
      <c r="K18" s="23" t="str">
        <f t="shared" si="4"/>
        <v>riya</v>
      </c>
      <c r="L18" s="29">
        <f t="shared" ca="1" si="5"/>
        <v>1145</v>
      </c>
      <c r="M18" s="31">
        <f t="shared" si="6"/>
        <v>40000</v>
      </c>
      <c r="N18">
        <f t="shared" si="7"/>
        <v>40000</v>
      </c>
      <c r="O18">
        <f t="shared" si="8"/>
        <v>39000</v>
      </c>
    </row>
    <row r="19" spans="1:15">
      <c r="A19" s="14">
        <v>2018</v>
      </c>
      <c r="B19" s="14" t="s">
        <v>71</v>
      </c>
      <c r="C19" s="14" t="s">
        <v>58</v>
      </c>
      <c r="D19" s="14" t="s">
        <v>79</v>
      </c>
      <c r="E19" s="20">
        <v>38161</v>
      </c>
      <c r="F19" s="16">
        <v>45182</v>
      </c>
      <c r="G19" s="21" t="str">
        <f t="shared" si="0"/>
        <v>15%</v>
      </c>
      <c r="H19" s="22">
        <f t="shared" si="1"/>
        <v>32436.85</v>
      </c>
      <c r="I19" s="23" t="str">
        <f t="shared" si="2"/>
        <v>Eligible</v>
      </c>
      <c r="J19" s="23" t="str">
        <f t="shared" si="3"/>
        <v>MANISH</v>
      </c>
      <c r="K19" s="23" t="str">
        <f t="shared" si="4"/>
        <v>manish</v>
      </c>
      <c r="L19" s="29">
        <f t="shared" ca="1" si="5"/>
        <v>1130</v>
      </c>
      <c r="M19" s="31">
        <f t="shared" si="6"/>
        <v>32000</v>
      </c>
      <c r="N19">
        <f t="shared" si="7"/>
        <v>33000</v>
      </c>
      <c r="O19">
        <f t="shared" si="8"/>
        <v>32000</v>
      </c>
    </row>
    <row r="20" spans="1:15">
      <c r="A20" s="14">
        <v>2019</v>
      </c>
      <c r="B20" s="14" t="s">
        <v>60</v>
      </c>
      <c r="C20" s="14" t="s">
        <v>58</v>
      </c>
      <c r="D20" s="14" t="s">
        <v>80</v>
      </c>
      <c r="E20" s="20">
        <v>30436</v>
      </c>
      <c r="F20" s="16">
        <v>45197</v>
      </c>
      <c r="G20" s="21" t="str">
        <f t="shared" si="0"/>
        <v>15%</v>
      </c>
      <c r="H20" s="22">
        <f t="shared" si="1"/>
        <v>25870.6</v>
      </c>
      <c r="I20" s="23" t="str">
        <f t="shared" si="2"/>
        <v>Eligible</v>
      </c>
      <c r="J20" s="23" t="str">
        <f t="shared" si="3"/>
        <v>KAJAL</v>
      </c>
      <c r="K20" s="23" t="str">
        <f t="shared" si="4"/>
        <v>kajal</v>
      </c>
      <c r="L20" s="29">
        <f t="shared" ca="1" si="5"/>
        <v>1115</v>
      </c>
      <c r="M20" s="31">
        <f t="shared" si="6"/>
        <v>26000</v>
      </c>
      <c r="N20">
        <f t="shared" si="7"/>
        <v>26000</v>
      </c>
      <c r="O20">
        <f t="shared" si="8"/>
        <v>25000</v>
      </c>
    </row>
    <row r="21" spans="1:15">
      <c r="A21" s="14">
        <v>2020</v>
      </c>
      <c r="B21" s="14" t="s">
        <v>57</v>
      </c>
      <c r="C21" s="14" t="s">
        <v>58</v>
      </c>
      <c r="D21" s="14" t="s">
        <v>23</v>
      </c>
      <c r="E21" s="20">
        <v>33953</v>
      </c>
      <c r="F21" s="16">
        <v>45212</v>
      </c>
      <c r="G21" s="21" t="str">
        <f t="shared" si="0"/>
        <v>15%</v>
      </c>
      <c r="H21" s="22">
        <f t="shared" si="1"/>
        <v>28860.05</v>
      </c>
      <c r="I21" s="23" t="str">
        <f t="shared" si="2"/>
        <v>Eligible</v>
      </c>
      <c r="J21" s="23" t="str">
        <f t="shared" si="3"/>
        <v>HARSH</v>
      </c>
      <c r="K21" s="23" t="str">
        <f t="shared" si="4"/>
        <v>harsh</v>
      </c>
      <c r="L21" s="29">
        <f t="shared" ca="1" si="5"/>
        <v>1100</v>
      </c>
      <c r="M21" s="31">
        <f t="shared" si="6"/>
        <v>29000</v>
      </c>
      <c r="N21">
        <f t="shared" si="7"/>
        <v>29000</v>
      </c>
      <c r="O21">
        <f t="shared" si="8"/>
        <v>28000</v>
      </c>
    </row>
    <row r="24" spans="1:15">
      <c r="A24" s="43" t="s">
        <v>81</v>
      </c>
      <c r="B24" s="43"/>
      <c r="C24" s="43"/>
      <c r="D24" s="43"/>
      <c r="E24" s="43"/>
      <c r="F24" s="8">
        <f>SUMIFS(E2:E21,C2:C21,"South")</f>
        <v>73188</v>
      </c>
    </row>
    <row r="25" spans="1:15">
      <c r="A25" s="11"/>
      <c r="B25" s="11"/>
      <c r="C25" s="11"/>
      <c r="D25" s="11"/>
      <c r="E25" s="11"/>
      <c r="F25" s="12"/>
    </row>
    <row r="26" spans="1:15">
      <c r="A26" s="45" t="s">
        <v>38</v>
      </c>
      <c r="B26" s="45"/>
      <c r="C26" s="45"/>
      <c r="D26" s="45"/>
      <c r="E26" s="45"/>
    </row>
    <row r="27" spans="1:15">
      <c r="A27" s="44" t="s">
        <v>82</v>
      </c>
      <c r="B27" s="44"/>
      <c r="C27" s="44"/>
      <c r="D27" s="44"/>
      <c r="E27" s="44"/>
    </row>
    <row r="28" spans="1:15">
      <c r="A28" s="9" t="s">
        <v>41</v>
      </c>
      <c r="B28" s="9" t="s">
        <v>44</v>
      </c>
    </row>
    <row r="29" spans="1:15">
      <c r="A29" s="2" t="s">
        <v>54</v>
      </c>
      <c r="B29" s="7">
        <f>VLOOKUP(A29,B1:H21,4,FALSE)</f>
        <v>7048</v>
      </c>
    </row>
    <row r="30" spans="1:15">
      <c r="A30" s="2" t="s">
        <v>57</v>
      </c>
      <c r="B30" s="7">
        <f t="shared" ref="B30:B48" si="9">VLOOKUP(A30,B2:H22,4,FALSE)</f>
        <v>17428</v>
      </c>
    </row>
    <row r="31" spans="1:15">
      <c r="A31" s="2" t="s">
        <v>60</v>
      </c>
      <c r="B31" s="7">
        <f t="shared" si="9"/>
        <v>23672</v>
      </c>
    </row>
    <row r="32" spans="1:15">
      <c r="A32" s="2" t="s">
        <v>57</v>
      </c>
      <c r="B32" s="7">
        <f t="shared" si="9"/>
        <v>5264</v>
      </c>
    </row>
    <row r="33" spans="1:2">
      <c r="A33" s="2" t="s">
        <v>54</v>
      </c>
      <c r="B33" s="7">
        <f t="shared" si="9"/>
        <v>43388</v>
      </c>
    </row>
    <row r="34" spans="1:2">
      <c r="A34" s="2" t="s">
        <v>60</v>
      </c>
      <c r="B34" s="7">
        <f t="shared" si="9"/>
        <v>19757</v>
      </c>
    </row>
    <row r="35" spans="1:2">
      <c r="A35" s="2" t="s">
        <v>60</v>
      </c>
      <c r="B35" s="7">
        <f t="shared" si="9"/>
        <v>19757</v>
      </c>
    </row>
    <row r="36" spans="1:2">
      <c r="A36" s="2" t="s">
        <v>54</v>
      </c>
      <c r="B36" s="7">
        <f t="shared" si="9"/>
        <v>46429</v>
      </c>
    </row>
    <row r="37" spans="1:2">
      <c r="A37" s="2" t="s">
        <v>57</v>
      </c>
      <c r="B37" s="7">
        <f t="shared" si="9"/>
        <v>19746</v>
      </c>
    </row>
    <row r="38" spans="1:2">
      <c r="A38" s="2" t="s">
        <v>54</v>
      </c>
      <c r="B38" s="7">
        <f t="shared" si="9"/>
        <v>35185</v>
      </c>
    </row>
    <row r="39" spans="1:2">
      <c r="A39" s="2" t="s">
        <v>54</v>
      </c>
      <c r="B39" s="7">
        <f t="shared" si="9"/>
        <v>35185</v>
      </c>
    </row>
    <row r="40" spans="1:2">
      <c r="A40" s="2" t="s">
        <v>71</v>
      </c>
      <c r="B40" s="7">
        <f t="shared" si="9"/>
        <v>35611</v>
      </c>
    </row>
    <row r="41" spans="1:2">
      <c r="A41" s="2" t="s">
        <v>73</v>
      </c>
      <c r="B41" s="7">
        <f t="shared" si="9"/>
        <v>15560</v>
      </c>
    </row>
    <row r="42" spans="1:2">
      <c r="A42" s="2" t="s">
        <v>73</v>
      </c>
      <c r="B42" s="7">
        <f t="shared" si="9"/>
        <v>15560</v>
      </c>
    </row>
    <row r="43" spans="1:2">
      <c r="A43" s="2" t="s">
        <v>73</v>
      </c>
      <c r="B43" s="7">
        <f t="shared" si="9"/>
        <v>7283</v>
      </c>
    </row>
    <row r="44" spans="1:2">
      <c r="A44" s="2" t="s">
        <v>60</v>
      </c>
      <c r="B44" s="7">
        <f t="shared" si="9"/>
        <v>5277</v>
      </c>
    </row>
    <row r="45" spans="1:2">
      <c r="A45" s="2" t="s">
        <v>71</v>
      </c>
      <c r="B45" s="7">
        <f t="shared" si="9"/>
        <v>41871</v>
      </c>
    </row>
    <row r="46" spans="1:2">
      <c r="A46" s="2" t="s">
        <v>71</v>
      </c>
      <c r="B46" s="7">
        <f t="shared" si="9"/>
        <v>41871</v>
      </c>
    </row>
    <row r="47" spans="1:2">
      <c r="A47" s="2" t="s">
        <v>60</v>
      </c>
      <c r="B47" s="7">
        <f t="shared" si="9"/>
        <v>30436</v>
      </c>
    </row>
    <row r="48" spans="1:2">
      <c r="A48" s="2" t="s">
        <v>57</v>
      </c>
      <c r="B48" s="7">
        <f t="shared" si="9"/>
        <v>33953</v>
      </c>
    </row>
  </sheetData>
  <mergeCells count="3">
    <mergeCell ref="A24:E24"/>
    <mergeCell ref="A27:E27"/>
    <mergeCell ref="A26:E26"/>
  </mergeCells>
  <conditionalFormatting sqref="I2:I21">
    <cfRule type="containsText" dxfId="0" priority="1" operator="containsText" text="Not Eligible">
      <formula>NOT(ISERROR(SEARCH("Not Eligible",I2)))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38AA-86A7-41CC-9DC8-6497021AE73C}">
  <dimension ref="A1:J21"/>
  <sheetViews>
    <sheetView topLeftCell="A2" workbookViewId="0">
      <selection sqref="A1:J21"/>
    </sheetView>
  </sheetViews>
  <sheetFormatPr defaultRowHeight="15"/>
  <cols>
    <col min="1" max="1" width="12.28515625" style="3" bestFit="1" customWidth="1"/>
    <col min="2" max="2" width="12.42578125" style="3" bestFit="1" customWidth="1"/>
    <col min="3" max="3" width="12" style="3" bestFit="1" customWidth="1"/>
    <col min="4" max="4" width="13" style="3" bestFit="1" customWidth="1"/>
    <col min="5" max="5" width="17" style="3" bestFit="1" customWidth="1"/>
    <col min="6" max="6" width="11.7109375" style="3" bestFit="1" customWidth="1"/>
    <col min="7" max="7" width="12.28515625" style="3" bestFit="1" customWidth="1"/>
    <col min="8" max="8" width="12.85546875" style="3" bestFit="1" customWidth="1"/>
    <col min="9" max="16384" width="9.140625" style="3"/>
  </cols>
  <sheetData>
    <row r="1" spans="1:10">
      <c r="A1" s="1" t="s">
        <v>83</v>
      </c>
      <c r="B1" s="1" t="s">
        <v>1</v>
      </c>
      <c r="C1" s="1" t="s">
        <v>84</v>
      </c>
      <c r="D1" s="1" t="s">
        <v>85</v>
      </c>
      <c r="E1" s="1" t="s">
        <v>86</v>
      </c>
      <c r="F1" s="13" t="s">
        <v>11</v>
      </c>
      <c r="G1" s="13" t="s">
        <v>12</v>
      </c>
      <c r="H1" s="13" t="s">
        <v>87</v>
      </c>
      <c r="I1" s="13" t="s">
        <v>88</v>
      </c>
      <c r="J1" s="13" t="s">
        <v>89</v>
      </c>
    </row>
    <row r="2" spans="1:10">
      <c r="A2" s="14">
        <v>3001</v>
      </c>
      <c r="B2" s="14" t="s">
        <v>90</v>
      </c>
      <c r="C2" s="14" t="s">
        <v>91</v>
      </c>
      <c r="D2" s="15">
        <v>86766</v>
      </c>
      <c r="E2" s="16">
        <v>42005</v>
      </c>
      <c r="F2" s="17" t="str">
        <f>UPPER(B2)</f>
        <v>ZAID</v>
      </c>
      <c r="G2" s="17" t="str">
        <f>LOWER(B2)</f>
        <v>zaid</v>
      </c>
      <c r="H2" s="30">
        <f>ROUND(D2,-3)</f>
        <v>87000</v>
      </c>
      <c r="I2" s="17">
        <f>CEILING(D2,1000)</f>
        <v>87000</v>
      </c>
      <c r="J2" s="17">
        <f>FLOOR(D2,1000)</f>
        <v>86000</v>
      </c>
    </row>
    <row r="3" spans="1:10">
      <c r="A3" s="14">
        <v>3002</v>
      </c>
      <c r="B3" s="14" t="s">
        <v>92</v>
      </c>
      <c r="C3" s="14" t="s">
        <v>91</v>
      </c>
      <c r="D3" s="15">
        <v>31943</v>
      </c>
      <c r="E3" s="16">
        <v>42255</v>
      </c>
      <c r="F3" s="17" t="str">
        <f t="shared" ref="F3:F21" si="0">UPPER(B3)</f>
        <v>AYAN</v>
      </c>
      <c r="G3" s="17" t="str">
        <f t="shared" ref="G3:G21" si="1">LOWER(B3)</f>
        <v>ayan</v>
      </c>
      <c r="H3" s="30">
        <f t="shared" ref="H3:H21" si="2">ROUND(D3,-3)</f>
        <v>32000</v>
      </c>
      <c r="I3" s="17">
        <f t="shared" ref="I3:I21" si="3">CEILING(D3,1000)</f>
        <v>32000</v>
      </c>
      <c r="J3" s="17">
        <f t="shared" ref="J3:J21" si="4">FLOOR(D3,1000)</f>
        <v>31000</v>
      </c>
    </row>
    <row r="4" spans="1:10">
      <c r="A4" s="14">
        <v>3003</v>
      </c>
      <c r="B4" s="14" t="s">
        <v>93</v>
      </c>
      <c r="C4" s="14" t="s">
        <v>94</v>
      </c>
      <c r="D4" s="15">
        <v>63374</v>
      </c>
      <c r="E4" s="16">
        <v>42505</v>
      </c>
      <c r="F4" s="17" t="str">
        <f t="shared" si="0"/>
        <v>FARHAN</v>
      </c>
      <c r="G4" s="17" t="str">
        <f t="shared" si="1"/>
        <v>farhan</v>
      </c>
      <c r="H4" s="30">
        <f t="shared" si="2"/>
        <v>63000</v>
      </c>
      <c r="I4" s="17">
        <f t="shared" si="3"/>
        <v>64000</v>
      </c>
      <c r="J4" s="17">
        <f t="shared" si="4"/>
        <v>63000</v>
      </c>
    </row>
    <row r="5" spans="1:10">
      <c r="A5" s="14">
        <v>3004</v>
      </c>
      <c r="B5" s="14" t="s">
        <v>95</v>
      </c>
      <c r="C5" s="14" t="s">
        <v>91</v>
      </c>
      <c r="D5" s="15">
        <v>109972</v>
      </c>
      <c r="E5" s="16">
        <v>42755</v>
      </c>
      <c r="F5" s="17" t="str">
        <f t="shared" si="0"/>
        <v>SAMEER</v>
      </c>
      <c r="G5" s="17" t="str">
        <f t="shared" si="1"/>
        <v>sameer</v>
      </c>
      <c r="H5" s="30">
        <f t="shared" si="2"/>
        <v>110000</v>
      </c>
      <c r="I5" s="17">
        <f t="shared" si="3"/>
        <v>110000</v>
      </c>
      <c r="J5" s="17">
        <f t="shared" si="4"/>
        <v>109000</v>
      </c>
    </row>
    <row r="6" spans="1:10">
      <c r="A6" s="14">
        <v>3005</v>
      </c>
      <c r="B6" s="14" t="s">
        <v>96</v>
      </c>
      <c r="C6" s="14" t="s">
        <v>97</v>
      </c>
      <c r="D6" s="15">
        <v>54149</v>
      </c>
      <c r="E6" s="16">
        <v>43005</v>
      </c>
      <c r="F6" s="17" t="str">
        <f t="shared" si="0"/>
        <v>IMRAN</v>
      </c>
      <c r="G6" s="17" t="str">
        <f t="shared" si="1"/>
        <v>imran</v>
      </c>
      <c r="H6" s="30">
        <f t="shared" si="2"/>
        <v>54000</v>
      </c>
      <c r="I6" s="17">
        <f t="shared" si="3"/>
        <v>55000</v>
      </c>
      <c r="J6" s="17">
        <f t="shared" si="4"/>
        <v>54000</v>
      </c>
    </row>
    <row r="7" spans="1:10">
      <c r="A7" s="14">
        <v>3006</v>
      </c>
      <c r="B7" s="14" t="s">
        <v>98</v>
      </c>
      <c r="C7" s="14" t="s">
        <v>97</v>
      </c>
      <c r="D7" s="15">
        <v>78689</v>
      </c>
      <c r="E7" s="16">
        <v>43255</v>
      </c>
      <c r="F7" s="17" t="str">
        <f t="shared" si="0"/>
        <v>DANISH</v>
      </c>
      <c r="G7" s="17" t="str">
        <f t="shared" si="1"/>
        <v>danish</v>
      </c>
      <c r="H7" s="30">
        <f t="shared" si="2"/>
        <v>79000</v>
      </c>
      <c r="I7" s="17">
        <f t="shared" si="3"/>
        <v>79000</v>
      </c>
      <c r="J7" s="17">
        <f t="shared" si="4"/>
        <v>78000</v>
      </c>
    </row>
    <row r="8" spans="1:10">
      <c r="A8" s="14">
        <v>3007</v>
      </c>
      <c r="B8" s="14" t="s">
        <v>99</v>
      </c>
      <c r="C8" s="14" t="s">
        <v>100</v>
      </c>
      <c r="D8" s="15">
        <v>35960</v>
      </c>
      <c r="E8" s="16">
        <v>43505</v>
      </c>
      <c r="F8" s="17" t="str">
        <f t="shared" si="0"/>
        <v>FAIZAN</v>
      </c>
      <c r="G8" s="17" t="str">
        <f t="shared" si="1"/>
        <v>faizan</v>
      </c>
      <c r="H8" s="30">
        <f t="shared" si="2"/>
        <v>36000</v>
      </c>
      <c r="I8" s="17">
        <f t="shared" si="3"/>
        <v>36000</v>
      </c>
      <c r="J8" s="17">
        <f t="shared" si="4"/>
        <v>35000</v>
      </c>
    </row>
    <row r="9" spans="1:10">
      <c r="A9" s="14">
        <v>3008</v>
      </c>
      <c r="B9" s="14" t="s">
        <v>101</v>
      </c>
      <c r="C9" s="14" t="s">
        <v>97</v>
      </c>
      <c r="D9" s="15">
        <v>91659</v>
      </c>
      <c r="E9" s="16">
        <v>43755</v>
      </c>
      <c r="F9" s="17" t="str">
        <f t="shared" si="0"/>
        <v>REHAN</v>
      </c>
      <c r="G9" s="17" t="str">
        <f t="shared" si="1"/>
        <v>rehan</v>
      </c>
      <c r="H9" s="30">
        <f t="shared" si="2"/>
        <v>92000</v>
      </c>
      <c r="I9" s="17">
        <f t="shared" si="3"/>
        <v>92000</v>
      </c>
      <c r="J9" s="17">
        <f t="shared" si="4"/>
        <v>91000</v>
      </c>
    </row>
    <row r="10" spans="1:10">
      <c r="A10" s="14">
        <v>3009</v>
      </c>
      <c r="B10" s="14" t="s">
        <v>102</v>
      </c>
      <c r="C10" s="14" t="s">
        <v>97</v>
      </c>
      <c r="D10" s="15">
        <v>90423</v>
      </c>
      <c r="E10" s="16">
        <v>44005</v>
      </c>
      <c r="F10" s="17" t="str">
        <f t="shared" si="0"/>
        <v>ARMAN</v>
      </c>
      <c r="G10" s="17" t="str">
        <f t="shared" si="1"/>
        <v>arman</v>
      </c>
      <c r="H10" s="30">
        <f t="shared" si="2"/>
        <v>90000</v>
      </c>
      <c r="I10" s="17">
        <f t="shared" si="3"/>
        <v>91000</v>
      </c>
      <c r="J10" s="17">
        <f t="shared" si="4"/>
        <v>90000</v>
      </c>
    </row>
    <row r="11" spans="1:10">
      <c r="A11" s="14">
        <v>3010</v>
      </c>
      <c r="B11" s="14" t="s">
        <v>103</v>
      </c>
      <c r="C11" s="14" t="s">
        <v>94</v>
      </c>
      <c r="D11" s="15">
        <v>107877</v>
      </c>
      <c r="E11" s="16">
        <v>44255</v>
      </c>
      <c r="F11" s="17" t="str">
        <f t="shared" si="0"/>
        <v>SAIF</v>
      </c>
      <c r="G11" s="17" t="str">
        <f t="shared" si="1"/>
        <v>saif</v>
      </c>
      <c r="H11" s="30">
        <f t="shared" si="2"/>
        <v>108000</v>
      </c>
      <c r="I11" s="17">
        <f t="shared" si="3"/>
        <v>108000</v>
      </c>
      <c r="J11" s="17">
        <f t="shared" si="4"/>
        <v>107000</v>
      </c>
    </row>
    <row r="12" spans="1:10">
      <c r="A12" s="14">
        <v>3011</v>
      </c>
      <c r="B12" s="14" t="s">
        <v>104</v>
      </c>
      <c r="C12" s="14" t="s">
        <v>91</v>
      </c>
      <c r="D12" s="15">
        <v>107634</v>
      </c>
      <c r="E12" s="16">
        <v>44505</v>
      </c>
      <c r="F12" s="17" t="str">
        <f t="shared" si="0"/>
        <v>MEHUL</v>
      </c>
      <c r="G12" s="17" t="str">
        <f t="shared" si="1"/>
        <v>mehul</v>
      </c>
      <c r="H12" s="30">
        <f t="shared" si="2"/>
        <v>108000</v>
      </c>
      <c r="I12" s="17">
        <f t="shared" si="3"/>
        <v>108000</v>
      </c>
      <c r="J12" s="17">
        <f t="shared" si="4"/>
        <v>107000</v>
      </c>
    </row>
    <row r="13" spans="1:10">
      <c r="A13" s="14">
        <v>3012</v>
      </c>
      <c r="B13" s="14" t="s">
        <v>105</v>
      </c>
      <c r="C13" s="14" t="s">
        <v>91</v>
      </c>
      <c r="D13" s="15">
        <v>35226</v>
      </c>
      <c r="E13" s="16">
        <v>44755</v>
      </c>
      <c r="F13" s="17" t="str">
        <f t="shared" si="0"/>
        <v>JAY</v>
      </c>
      <c r="G13" s="17" t="str">
        <f t="shared" si="1"/>
        <v>jay</v>
      </c>
      <c r="H13" s="30">
        <f t="shared" si="2"/>
        <v>35000</v>
      </c>
      <c r="I13" s="17">
        <f t="shared" si="3"/>
        <v>36000</v>
      </c>
      <c r="J13" s="17">
        <f t="shared" si="4"/>
        <v>35000</v>
      </c>
    </row>
    <row r="14" spans="1:10">
      <c r="A14" s="14">
        <v>3013</v>
      </c>
      <c r="B14" s="14" t="s">
        <v>106</v>
      </c>
      <c r="C14" s="14" t="s">
        <v>94</v>
      </c>
      <c r="D14" s="15">
        <v>40872</v>
      </c>
      <c r="E14" s="16">
        <v>45005</v>
      </c>
      <c r="F14" s="17" t="str">
        <f t="shared" si="0"/>
        <v>KRUNAL</v>
      </c>
      <c r="G14" s="17" t="str">
        <f t="shared" si="1"/>
        <v>krunal</v>
      </c>
      <c r="H14" s="30">
        <f t="shared" si="2"/>
        <v>41000</v>
      </c>
      <c r="I14" s="17">
        <f t="shared" si="3"/>
        <v>41000</v>
      </c>
      <c r="J14" s="17">
        <f t="shared" si="4"/>
        <v>40000</v>
      </c>
    </row>
    <row r="15" spans="1:10">
      <c r="A15" s="14">
        <v>3014</v>
      </c>
      <c r="B15" s="14" t="s">
        <v>107</v>
      </c>
      <c r="C15" s="14" t="s">
        <v>94</v>
      </c>
      <c r="D15" s="15">
        <v>55378</v>
      </c>
      <c r="E15" s="16">
        <v>45255</v>
      </c>
      <c r="F15" s="17" t="str">
        <f t="shared" si="0"/>
        <v>HET</v>
      </c>
      <c r="G15" s="17" t="str">
        <f t="shared" si="1"/>
        <v>het</v>
      </c>
      <c r="H15" s="30">
        <f t="shared" si="2"/>
        <v>55000</v>
      </c>
      <c r="I15" s="17">
        <f t="shared" si="3"/>
        <v>56000</v>
      </c>
      <c r="J15" s="17">
        <f t="shared" si="4"/>
        <v>55000</v>
      </c>
    </row>
    <row r="16" spans="1:10">
      <c r="A16" s="14">
        <v>3015</v>
      </c>
      <c r="B16" s="14" t="s">
        <v>108</v>
      </c>
      <c r="C16" s="14" t="s">
        <v>94</v>
      </c>
      <c r="D16" s="15">
        <v>63297</v>
      </c>
      <c r="E16" s="16">
        <v>45505</v>
      </c>
      <c r="F16" s="17" t="str">
        <f t="shared" si="0"/>
        <v>MEET</v>
      </c>
      <c r="G16" s="17" t="str">
        <f t="shared" si="1"/>
        <v>meet</v>
      </c>
      <c r="H16" s="30">
        <f t="shared" si="2"/>
        <v>63000</v>
      </c>
      <c r="I16" s="17">
        <f t="shared" si="3"/>
        <v>64000</v>
      </c>
      <c r="J16" s="17">
        <f t="shared" si="4"/>
        <v>63000</v>
      </c>
    </row>
    <row r="17" spans="1:10">
      <c r="A17" s="14">
        <v>3016</v>
      </c>
      <c r="B17" s="14" t="s">
        <v>109</v>
      </c>
      <c r="C17" s="14" t="s">
        <v>91</v>
      </c>
      <c r="D17" s="15">
        <v>114173</v>
      </c>
      <c r="E17" s="16">
        <v>45755</v>
      </c>
      <c r="F17" s="17" t="str">
        <f t="shared" si="0"/>
        <v>DARSHIL</v>
      </c>
      <c r="G17" s="17" t="str">
        <f t="shared" si="1"/>
        <v>darshil</v>
      </c>
      <c r="H17" s="30">
        <f t="shared" si="2"/>
        <v>114000</v>
      </c>
      <c r="I17" s="17">
        <f t="shared" si="3"/>
        <v>115000</v>
      </c>
      <c r="J17" s="17">
        <f t="shared" si="4"/>
        <v>114000</v>
      </c>
    </row>
    <row r="18" spans="1:10">
      <c r="A18" s="14">
        <v>3017</v>
      </c>
      <c r="B18" s="14" t="s">
        <v>110</v>
      </c>
      <c r="C18" s="14" t="s">
        <v>94</v>
      </c>
      <c r="D18" s="15">
        <v>86915</v>
      </c>
      <c r="E18" s="16">
        <v>46005</v>
      </c>
      <c r="F18" s="17" t="str">
        <f t="shared" si="0"/>
        <v>MAHEK</v>
      </c>
      <c r="G18" s="17" t="str">
        <f t="shared" si="1"/>
        <v>mahek</v>
      </c>
      <c r="H18" s="30">
        <f t="shared" si="2"/>
        <v>87000</v>
      </c>
      <c r="I18" s="17">
        <f t="shared" si="3"/>
        <v>87000</v>
      </c>
      <c r="J18" s="17">
        <f t="shared" si="4"/>
        <v>86000</v>
      </c>
    </row>
    <row r="19" spans="1:10">
      <c r="A19" s="14">
        <v>3018</v>
      </c>
      <c r="B19" s="14" t="s">
        <v>111</v>
      </c>
      <c r="C19" s="14" t="s">
        <v>97</v>
      </c>
      <c r="D19" s="15">
        <v>116284</v>
      </c>
      <c r="E19" s="16">
        <v>46255</v>
      </c>
      <c r="F19" s="17" t="str">
        <f t="shared" si="0"/>
        <v>NIYATI</v>
      </c>
      <c r="G19" s="17" t="str">
        <f t="shared" si="1"/>
        <v>niyati</v>
      </c>
      <c r="H19" s="30">
        <f t="shared" si="2"/>
        <v>116000</v>
      </c>
      <c r="I19" s="17">
        <f t="shared" si="3"/>
        <v>117000</v>
      </c>
      <c r="J19" s="17">
        <f t="shared" si="4"/>
        <v>116000</v>
      </c>
    </row>
    <row r="20" spans="1:10">
      <c r="A20" s="14">
        <v>3019</v>
      </c>
      <c r="B20" s="14" t="s">
        <v>112</v>
      </c>
      <c r="C20" s="14" t="s">
        <v>100</v>
      </c>
      <c r="D20" s="15">
        <v>116283</v>
      </c>
      <c r="E20" s="16">
        <v>46505</v>
      </c>
      <c r="F20" s="17" t="str">
        <f t="shared" si="0"/>
        <v>JINAL</v>
      </c>
      <c r="G20" s="17" t="str">
        <f t="shared" si="1"/>
        <v>jinal</v>
      </c>
      <c r="H20" s="30">
        <f t="shared" si="2"/>
        <v>116000</v>
      </c>
      <c r="I20" s="17">
        <f t="shared" si="3"/>
        <v>117000</v>
      </c>
      <c r="J20" s="17">
        <f t="shared" si="4"/>
        <v>116000</v>
      </c>
    </row>
    <row r="21" spans="1:10">
      <c r="A21" s="14">
        <v>3020</v>
      </c>
      <c r="B21" s="14" t="s">
        <v>113</v>
      </c>
      <c r="C21" s="14" t="s">
        <v>100</v>
      </c>
      <c r="D21" s="15">
        <v>99924</v>
      </c>
      <c r="E21" s="16">
        <v>46755</v>
      </c>
      <c r="F21" s="17" t="str">
        <f t="shared" si="0"/>
        <v>MANSI</v>
      </c>
      <c r="G21" s="17" t="str">
        <f t="shared" si="1"/>
        <v>mansi</v>
      </c>
      <c r="H21" s="30">
        <f t="shared" si="2"/>
        <v>100000</v>
      </c>
      <c r="I21" s="17">
        <f t="shared" si="3"/>
        <v>100000</v>
      </c>
      <c r="J21" s="17">
        <f t="shared" si="4"/>
        <v>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2026-09-30T11:10:29Z</dcterms:created>
  <dcterms:modified xsi:type="dcterms:W3CDTF">2026-10-17T06:48:48Z</dcterms:modified>
  <cp:category/>
  <cp:contentStatus/>
</cp:coreProperties>
</file>